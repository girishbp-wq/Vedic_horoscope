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4365" windowWidth="29040" windowHeight="15720" tabRatio="600" firstSheet="5" activeTab="1" autoFilterDateGrouping="1"/>
  </bookViews>
  <sheets>
    <sheet name="README" sheetId="1" state="visible" r:id="rId1"/>
    <sheet name="Chart" sheetId="2" state="visible" r:id="rId2"/>
    <sheet name="Classes_Calc" sheetId="3" state="visible" r:id="rId3"/>
    <sheet name="Roles_Calc" sheetId="4" state="visible" r:id="rId4"/>
    <sheet name="Dasha_Calc" sheetId="5" state="visible" r:id="rId5"/>
    <sheet name="Predict_Calc" sheetId="6" state="visible" r:id="rId6"/>
    <sheet name="Ref_Calc" sheetId="7" state="visible" r:id="rId7"/>
    <sheet name="Classes" sheetId="8" state="visible" r:id="rId8"/>
    <sheet name="ClassRules" sheetId="9" state="visible" r:id="rId9"/>
    <sheet name="Badhaka" sheetId="10" state="visible" r:id="rId10"/>
    <sheet name="DignityEffect" sheetId="11" state="visible" r:id="rId11"/>
    <sheet name="Digbala" sheetId="12" state="visible" r:id="rId12"/>
    <sheet name="DashaRoleText" sheetId="13" state="visible" r:id="rId13"/>
    <sheet name="GrahaInBhava" sheetId="14" state="visible" r:id="rId14"/>
    <sheet name="GrahaPair" sheetId="15" state="visible" r:id="rId15"/>
    <sheet name="BhavaLordIn" sheetId="16" state="visible" r:id="rId16"/>
    <sheet name="GrahaRashi" sheetId="17" state="visible" r:id="rId17"/>
  </sheets>
  <definedNames/>
  <calcPr calcId="191029" fullCalcOnLoad="1" iterateDelta="0.0001"/>
</workbook>
</file>

<file path=xl/styles.xml><?xml version="1.0" encoding="utf-8"?>
<styleSheet xmlns="http://schemas.openxmlformats.org/spreadsheetml/2006/main">
  <numFmts count="3">
    <numFmt numFmtId="164" formatCode="yyyy\-mm\-dd\ hh:mm"/>
    <numFmt numFmtId="165" formatCode="yyyy-mm-dd h:mm:ss"/>
    <numFmt numFmtId="166" formatCode="yyyy-mm-dd hh:mm"/>
  </numFmts>
  <fonts count="9">
    <font>
      <name val="Calibri"/>
      <charset val="1"/>
      <family val="2"/>
      <color theme="1"/>
      <sz val="11"/>
    </font>
    <font>
      <name val="Cambria"/>
      <family val="1"/>
      <b val="1"/>
      <color rgb="FF6B1D2B"/>
      <sz val="14"/>
    </font>
    <font>
      <name val="Cambria"/>
      <family val="1"/>
      <color rgb="FF000000"/>
      <sz val="11"/>
    </font>
    <font>
      <name val="Cambria"/>
      <family val="1"/>
      <b val="1"/>
      <color rgb="FF6B1D2B"/>
      <sz val="13"/>
    </font>
    <font>
      <name val="Cambria"/>
      <family val="1"/>
      <b val="1"/>
      <color rgb="FFFFFFFF"/>
      <sz val="11"/>
    </font>
    <font>
      <name val="Cambria"/>
      <family val="1"/>
      <b val="1"/>
      <color rgb="FF6B1D2B"/>
      <sz val="11"/>
    </font>
    <font>
      <b val="1"/>
      <color rgb="006B1D2B"/>
      <sz val="13"/>
    </font>
    <font>
      <b val="1"/>
      <color rgb="00FFFFFF"/>
    </font>
    <font>
      <b val="1"/>
      <color rgb="006B1D2B"/>
    </font>
  </fonts>
  <fills count="6">
    <fill>
      <patternFill/>
    </fill>
    <fill>
      <patternFill patternType="gray125"/>
    </fill>
    <fill>
      <patternFill patternType="solid">
        <fgColor rgb="FFFFF3D6"/>
        <bgColor rgb="FFFFFFFF"/>
      </patternFill>
    </fill>
    <fill>
      <patternFill patternType="solid">
        <fgColor rgb="FF6B1D2B"/>
        <bgColor rgb="FF800000"/>
      </patternFill>
    </fill>
    <fill>
      <patternFill patternType="solid">
        <fgColor rgb="006B1D2B"/>
      </patternFill>
    </fill>
    <fill>
      <patternFill patternType="solid">
        <fgColor rgb="00FFF3D6"/>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pivotButton="0" quotePrefix="0" xfId="0"/>
    <xf numFmtId="0" fontId="0" fillId="2" borderId="0" pivotButton="0" quotePrefix="0" xfId="0"/>
    <xf numFmtId="0" fontId="4" fillId="3" borderId="0" applyAlignment="1" pivotButton="0" quotePrefix="0" xfId="0">
      <alignment vertical="center" wrapText="1"/>
    </xf>
    <xf numFmtId="164" fontId="0" fillId="2" borderId="0" pivotButton="0" quotePrefix="0" xfId="0"/>
    <xf numFmtId="0" fontId="5" fillId="0" borderId="0" pivotButton="0" quotePrefix="0" xfId="0"/>
    <xf numFmtId="164" fontId="0" fillId="0" borderId="0" pivotButton="0" quotePrefix="0" xfId="0"/>
    <xf numFmtId="0" fontId="4" fillId="3" borderId="0" pivotButton="0" quotePrefix="0" xfId="0"/>
    <xf numFmtId="0" fontId="6" fillId="0" borderId="0" pivotButton="0" quotePrefix="0" xfId="0"/>
    <xf numFmtId="0" fontId="0" fillId="5" borderId="0" pivotButton="0" quotePrefix="0" xfId="0"/>
    <xf numFmtId="0" fontId="7" fillId="4" borderId="0" applyAlignment="1" pivotButton="0" quotePrefix="0" xfId="0">
      <alignment vertical="center" wrapText="1"/>
    </xf>
    <xf numFmtId="166" fontId="0" fillId="5" borderId="0" pivotButton="0" quotePrefix="0" xfId="0"/>
    <xf numFmtId="0" fontId="8" fillId="0" borderId="0" pivotButton="0" quotePrefix="0" xfId="0"/>
    <xf numFmtId="166" fontId="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6B1D2B"/>
      <rgbColor rgb="FF008000"/>
      <rgbColor rgb="FF000080"/>
      <rgbColor rgb="FF808000"/>
      <rgbColor rgb="FF800080"/>
      <rgbColor rgb="FF008080"/>
      <rgbColor rgb="FFC0C0C0"/>
      <rgbColor rgb="FF808080"/>
      <rgbColor rgb="FF9999FF"/>
      <rgbColor rgb="FF993366"/>
      <rgbColor rgb="FFFFF3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zoomScaleNormal="100" workbookViewId="0">
      <selection activeCell="A1" sqref="A1"/>
    </sheetView>
  </sheetViews>
  <sheetFormatPr baseColWidth="8" defaultColWidth="8.703125" defaultRowHeight="14.35"/>
  <cols>
    <col width="130" customWidth="1" min="1" max="1"/>
  </cols>
  <sheetData>
    <row r="1" ht="17.35" customHeight="1">
      <c r="A1" s="1" t="inlineStr">
        <is>
          <t>Session 23 rules — editable source of truth</t>
        </is>
      </c>
    </row>
    <row r="2">
      <c r="A2" s="2" t="inlineStr">
        <is>
          <t>Edit any cell, then run:  python3 build_session23.py   (rebuilds session23_rules.json and the index.html data block).</t>
        </is>
      </c>
    </row>
    <row r="3" ht="27.35" customHeight="1">
      <c r="A3" s="2" t="inlineStr">
        <is>
          <t>Status column: taught = the teacher's own content (slides / recording);  curated = drafted by blending her karakatwas, not yet taught;  blend = generated from templates;  standard = a standard rule the teacher has not stated yet.</t>
        </is>
      </c>
    </row>
    <row r="4">
      <c r="A4" s="2" t="inlineStr">
        <is>
          <t>Houses are written as comma lists (1, 4, 7, 10). Text lists: one paragraph per blank-line-separated block (Points) or one line each (Extra).</t>
        </is>
      </c>
    </row>
    <row r="5">
      <c r="A5" s="2" t="inlineStr">
        <is>
          <t>When a later session teaches a graha, replace its 'curated' rows and set Status to taught.</t>
        </is>
      </c>
    </row>
    <row r="6" ht="28.7" customHeight="1">
      <c r="A6" s="3" t="inlineStr">
        <is>
          <t>Calculator sheets (Chart, Classes_Calc, Roles_Calc, Dasha_Calc, Predict_Calc, Ref_Calc) are added by python3 make_session23_xlsx.py — set the signs on Chart; everything else is formulas.</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1" t="inlineStr">
        <is>
          <t>Session 23 calculator — set the Lagna and the grahas' signs and degrees; the other sheets recalculate</t>
        </is>
      </c>
    </row>
    <row r="3">
      <c r="A3" t="inlineStr">
        <is>
          <t>Lagna (rising sign)</t>
        </is>
      </c>
      <c r="B3" s="12" t="inlineStr">
        <is>
          <t>Simha</t>
        </is>
      </c>
      <c r="D3">
        <f>MATCH(B3,Ref_Calc!$B$3:$B$14,0)-1</f>
        <v/>
      </c>
    </row>
    <row r="4">
      <c r="A4" s="13" t="inlineStr">
        <is>
          <t>Graha</t>
        </is>
      </c>
      <c r="B4" s="13" t="inlineStr">
        <is>
          <t>Sign</t>
        </is>
      </c>
      <c r="C4" s="13" t="inlineStr">
        <is>
          <t>Degree in sign</t>
        </is>
      </c>
      <c r="D4" s="13" t="inlineStr">
        <is>
          <t>Sign # (0-11)</t>
        </is>
      </c>
      <c r="E4" s="13" t="inlineStr">
        <is>
          <t>House from Lagna</t>
        </is>
      </c>
    </row>
    <row r="5">
      <c r="A5" t="inlineStr">
        <is>
          <t>Sun</t>
        </is>
      </c>
      <c r="B5" s="12" t="inlineStr">
        <is>
          <t>Mithuna</t>
        </is>
      </c>
      <c r="C5" s="12" t="n">
        <v>15</v>
      </c>
      <c r="D5">
        <f>MATCH(B5,Ref_Calc!$B$3:$B$14,0)-1</f>
        <v/>
      </c>
      <c r="E5">
        <f>MOD(D5-$D$3,12)+1</f>
        <v/>
      </c>
    </row>
    <row r="6">
      <c r="A6" t="inlineStr">
        <is>
          <t>Moon</t>
        </is>
      </c>
      <c r="B6" s="12" t="inlineStr">
        <is>
          <t>Tula</t>
        </is>
      </c>
      <c r="C6" s="12" t="n">
        <v>15</v>
      </c>
      <c r="D6">
        <f>MATCH(B6,Ref_Calc!$B$3:$B$14,0)-1</f>
        <v/>
      </c>
      <c r="E6">
        <f>MOD(D6-$D$3,12)+1</f>
        <v/>
      </c>
    </row>
    <row r="7">
      <c r="A7" t="inlineStr">
        <is>
          <t>Mars</t>
        </is>
      </c>
      <c r="B7" s="12" t="inlineStr">
        <is>
          <t>Karkataka</t>
        </is>
      </c>
      <c r="C7" s="12" t="n">
        <v>15</v>
      </c>
      <c r="D7">
        <f>MATCH(B7,Ref_Calc!$B$3:$B$14,0)-1</f>
        <v/>
      </c>
      <c r="E7">
        <f>MOD(D7-$D$3,12)+1</f>
        <v/>
      </c>
    </row>
    <row r="8">
      <c r="A8" t="inlineStr">
        <is>
          <t>Mercury</t>
        </is>
      </c>
      <c r="B8" s="12" t="inlineStr">
        <is>
          <t>Vrishaba</t>
        </is>
      </c>
      <c r="C8" s="12" t="n">
        <v>15</v>
      </c>
      <c r="D8">
        <f>MATCH(B8,Ref_Calc!$B$3:$B$14,0)-1</f>
        <v/>
      </c>
      <c r="E8">
        <f>MOD(D8-$D$3,12)+1</f>
        <v/>
      </c>
    </row>
    <row r="9">
      <c r="A9" t="inlineStr">
        <is>
          <t>Jupiter</t>
        </is>
      </c>
      <c r="B9" s="12" t="inlineStr">
        <is>
          <t>Kumbha</t>
        </is>
      </c>
      <c r="C9" s="12" t="n">
        <v>15</v>
      </c>
      <c r="D9">
        <f>MATCH(B9,Ref_Calc!$B$3:$B$14,0)-1</f>
        <v/>
      </c>
      <c r="E9">
        <f>MOD(D9-$D$3,12)+1</f>
        <v/>
      </c>
    </row>
    <row r="10">
      <c r="A10" t="inlineStr">
        <is>
          <t>Venus</t>
        </is>
      </c>
      <c r="B10" s="12" t="inlineStr">
        <is>
          <t>Mithuna</t>
        </is>
      </c>
      <c r="C10" s="12" t="n">
        <v>15</v>
      </c>
      <c r="D10">
        <f>MATCH(B10,Ref_Calc!$B$3:$B$14,0)-1</f>
        <v/>
      </c>
      <c r="E10">
        <f>MOD(D10-$D$3,12)+1</f>
        <v/>
      </c>
    </row>
    <row r="11">
      <c r="A11" t="inlineStr">
        <is>
          <t>Saturn</t>
        </is>
      </c>
      <c r="B11" s="12" t="inlineStr">
        <is>
          <t>Makara</t>
        </is>
      </c>
      <c r="C11" s="12" t="n">
        <v>15</v>
      </c>
      <c r="D11">
        <f>MATCH(B11,Ref_Calc!$B$3:$B$14,0)-1</f>
        <v/>
      </c>
      <c r="E11">
        <f>MOD(D11-$D$3,12)+1</f>
        <v/>
      </c>
    </row>
    <row r="12">
      <c r="A12" t="inlineStr">
        <is>
          <t>Rahu</t>
        </is>
      </c>
      <c r="B12" s="12" t="inlineStr">
        <is>
          <t>Vrishaba</t>
        </is>
      </c>
      <c r="C12" s="12" t="n">
        <v>15</v>
      </c>
      <c r="D12">
        <f>MATCH(B12,Ref_Calc!$B$3:$B$14,0)-1</f>
        <v/>
      </c>
      <c r="E12">
        <f>MOD(D12-$D$3,12)+1</f>
        <v/>
      </c>
    </row>
    <row r="13">
      <c r="A13" t="inlineStr">
        <is>
          <t>Ketu</t>
        </is>
      </c>
      <c r="B13" s="12" t="inlineStr">
        <is>
          <t>Vrischika</t>
        </is>
      </c>
      <c r="C13" s="12" t="n">
        <v>15</v>
      </c>
      <c r="D13">
        <f>MATCH(B13,Ref_Calc!$B$3:$B$14,0)-1</f>
        <v/>
      </c>
      <c r="E13">
        <f>MOD(D13-$D$3,12)+1</f>
        <v/>
      </c>
    </row>
    <row r="15">
      <c r="A15" t="inlineStr">
        <is>
          <t>Moon longitude (°)</t>
        </is>
      </c>
      <c r="B15">
        <f>D6*30+C6</f>
        <v/>
      </c>
    </row>
    <row r="16">
      <c r="A16" t="inlineStr">
        <is>
          <t>Sun longitude (°)</t>
        </is>
      </c>
      <c r="B16">
        <f>D5*30+C5</f>
        <v/>
      </c>
    </row>
    <row r="17">
      <c r="A17" t="inlineStr">
        <is>
          <t>Moon waxing (Shukla paksha)?</t>
        </is>
      </c>
      <c r="B17">
        <f>INT(MOD(B15-B16,360)/12)+1&lt;=15</f>
        <v/>
      </c>
    </row>
    <row r="18">
      <c r="A18" t="inlineStr">
        <is>
          <t>Born (date and time)</t>
        </is>
      </c>
      <c r="B18" s="14" t="n">
        <v>33008.27083333334</v>
      </c>
    </row>
    <row r="19">
      <c r="A19" t="inlineStr">
        <is>
          <t>Now (overwrite to freeze)</t>
        </is>
      </c>
      <c r="B19" s="14">
        <f>NOW()</f>
        <v/>
      </c>
    </row>
    <row r="21">
      <c r="A21" s="3" t="inlineStr">
        <is>
          <t>Yellow cells are inputs. The Lagna and signs have drop-downs (page spelling). Houses count from the Lagna sign. Enter each degree as the degree within its sign (0 to under 30), not the absolute longitude; degrees decide Deep Exalted / Deep Debilitated and Moolatrikona.</t>
        </is>
      </c>
    </row>
  </sheetData>
  <dataValidations count="2">
    <dataValidation sqref="B3 B5:B13" showDropDown="0" showInputMessage="0" showErrorMessage="0" allowBlank="0" type="list">
      <formula1>=Ref_Calc!$B$3:$B$14</formula1>
    </dataValidation>
    <dataValidation sqref="C5:C13" showDropDown="0" showInputMessage="0" showErrorMessage="1" allowBlank="0" errorTitle="Degree within the sign" error="Enter the degree inside the sign: 0 up to (but not including) 30." type="decimal" operator="between">
      <formula1>0</formula1>
      <formula2>29.999999</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2"/>
  <sheetViews>
    <sheetView workbookViewId="0">
      <selection activeCell="A1" sqref="A1"/>
    </sheetView>
  </sheetViews>
  <sheetFormatPr baseColWidth="8" defaultRowHeight="15"/>
  <cols>
    <col width="16" customWidth="1" min="1" max="1"/>
    <col width="8" customWidth="1" min="2" max="2"/>
    <col width="14" customWidth="1" min="3" max="3"/>
    <col width="30" customWidth="1" min="4" max="4"/>
    <col width="14"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40" customWidth="1" min="13" max="13"/>
    <col hidden="1" width="13" customWidth="1" min="15" max="15"/>
  </cols>
  <sheetData>
    <row r="1">
      <c r="A1" s="15" t="inlineStr">
        <is>
          <t>The ten classes for this chart — houses are counted from the Lagna on the Chart sheet</t>
        </is>
      </c>
    </row>
    <row r="3">
      <c r="A3" s="13" t="inlineStr">
        <is>
          <t>Class</t>
        </is>
      </c>
      <c r="B3" s="13" t="inlineStr">
        <is>
          <t>House</t>
        </is>
      </c>
      <c r="C3" s="13" t="inlineStr">
        <is>
          <t>Rāśi</t>
        </is>
      </c>
      <c r="D3" s="13" t="inlineStr">
        <is>
          <t>Planets in it</t>
        </is>
      </c>
      <c r="E3" s="13" t="inlineStr">
        <is>
          <t>Lord</t>
        </is>
      </c>
      <c r="F3" s="13" t="inlineStr">
        <is>
          <t>Lord sits in house</t>
        </is>
      </c>
      <c r="O3" t="inlineStr">
        <is>
          <t>(helper)</t>
        </is>
      </c>
    </row>
    <row r="4">
      <c r="A4" t="inlineStr">
        <is>
          <t>Kendra</t>
        </is>
      </c>
      <c r="B4" t="n">
        <v>1</v>
      </c>
      <c r="C4">
        <f>INDEX(Ref_Calc!$B$3:$B$14,MOD(Chart!$D$3+B4-1,12)+1)</f>
        <v/>
      </c>
      <c r="D4">
        <f>IF(O4="","",LEFT(O4,LEN(O4)-2))</f>
        <v/>
      </c>
      <c r="E4">
        <f>INDEX(Ref_Calc!$D$3:$D$14,MOD(Chart!$D$3+B4-1,12)+1)</f>
        <v/>
      </c>
      <c r="F4">
        <f>INDEX(Chart!$E$5:$E$13,MATCH(E4,Chart!$A$5:$A$13,0))</f>
        <v/>
      </c>
      <c r="O4">
        <f>IF(Chart!$E$5=$B4,Chart!$A$5&amp;", ","")&amp;IF(Chart!$E$6=$B4,Chart!$A$6&amp;", ","")&amp;IF(Chart!$E$7=$B4,Chart!$A$7&amp;", ","")&amp;IF(Chart!$E$8=$B4,Chart!$A$8&amp;", ","")&amp;IF(Chart!$E$9=$B4,Chart!$A$9&amp;", ","")&amp;IF(Chart!$E$10=$B4,Chart!$A$10&amp;", ","")&amp;IF(Chart!$E$11=$B4,Chart!$A$11&amp;", ","")&amp;IF(Chart!$E$12=$B4,Chart!$A$12&amp;", ","")&amp;IF(Chart!$E$13=$B4,Chart!$A$13&amp;", ","")</f>
        <v/>
      </c>
    </row>
    <row r="5">
      <c r="A5" t="inlineStr">
        <is>
          <t>Kendra</t>
        </is>
      </c>
      <c r="B5" t="n">
        <v>4</v>
      </c>
      <c r="C5">
        <f>INDEX(Ref_Calc!$B$3:$B$14,MOD(Chart!$D$3+B5-1,12)+1)</f>
        <v/>
      </c>
      <c r="D5">
        <f>IF(O5="","",LEFT(O5,LEN(O5)-2))</f>
        <v/>
      </c>
      <c r="E5">
        <f>INDEX(Ref_Calc!$D$3:$D$14,MOD(Chart!$D$3+B5-1,12)+1)</f>
        <v/>
      </c>
      <c r="F5">
        <f>INDEX(Chart!$E$5:$E$13,MATCH(E5,Chart!$A$5:$A$13,0))</f>
        <v/>
      </c>
      <c r="O5">
        <f>IF(Chart!$E$5=$B5,Chart!$A$5&amp;", ","")&amp;IF(Chart!$E$6=$B5,Chart!$A$6&amp;", ","")&amp;IF(Chart!$E$7=$B5,Chart!$A$7&amp;", ","")&amp;IF(Chart!$E$8=$B5,Chart!$A$8&amp;", ","")&amp;IF(Chart!$E$9=$B5,Chart!$A$9&amp;", ","")&amp;IF(Chart!$E$10=$B5,Chart!$A$10&amp;", ","")&amp;IF(Chart!$E$11=$B5,Chart!$A$11&amp;", ","")&amp;IF(Chart!$E$12=$B5,Chart!$A$12&amp;", ","")&amp;IF(Chart!$E$13=$B5,Chart!$A$13&amp;", ","")</f>
        <v/>
      </c>
    </row>
    <row r="6">
      <c r="A6" t="inlineStr">
        <is>
          <t>Kendra</t>
        </is>
      </c>
      <c r="B6" t="n">
        <v>7</v>
      </c>
      <c r="C6">
        <f>INDEX(Ref_Calc!$B$3:$B$14,MOD(Chart!$D$3+B6-1,12)+1)</f>
        <v/>
      </c>
      <c r="D6">
        <f>IF(O6="","",LEFT(O6,LEN(O6)-2))</f>
        <v/>
      </c>
      <c r="E6">
        <f>INDEX(Ref_Calc!$D$3:$D$14,MOD(Chart!$D$3+B6-1,12)+1)</f>
        <v/>
      </c>
      <c r="F6">
        <f>INDEX(Chart!$E$5:$E$13,MATCH(E6,Chart!$A$5:$A$13,0))</f>
        <v/>
      </c>
      <c r="O6">
        <f>IF(Chart!$E$5=$B6,Chart!$A$5&amp;", ","")&amp;IF(Chart!$E$6=$B6,Chart!$A$6&amp;", ","")&amp;IF(Chart!$E$7=$B6,Chart!$A$7&amp;", ","")&amp;IF(Chart!$E$8=$B6,Chart!$A$8&amp;", ","")&amp;IF(Chart!$E$9=$B6,Chart!$A$9&amp;", ","")&amp;IF(Chart!$E$10=$B6,Chart!$A$10&amp;", ","")&amp;IF(Chart!$E$11=$B6,Chart!$A$11&amp;", ","")&amp;IF(Chart!$E$12=$B6,Chart!$A$12&amp;", ","")&amp;IF(Chart!$E$13=$B6,Chart!$A$13&amp;", ","")</f>
        <v/>
      </c>
    </row>
    <row r="7">
      <c r="A7" t="inlineStr">
        <is>
          <t>Kendra</t>
        </is>
      </c>
      <c r="B7" t="n">
        <v>10</v>
      </c>
      <c r="C7">
        <f>INDEX(Ref_Calc!$B$3:$B$14,MOD(Chart!$D$3+B7-1,12)+1)</f>
        <v/>
      </c>
      <c r="D7">
        <f>IF(O7="","",LEFT(O7,LEN(O7)-2))</f>
        <v/>
      </c>
      <c r="E7">
        <f>INDEX(Ref_Calc!$D$3:$D$14,MOD(Chart!$D$3+B7-1,12)+1)</f>
        <v/>
      </c>
      <c r="F7">
        <f>INDEX(Chart!$E$5:$E$13,MATCH(E7,Chart!$A$5:$A$13,0))</f>
        <v/>
      </c>
      <c r="O7">
        <f>IF(Chart!$E$5=$B7,Chart!$A$5&amp;", ","")&amp;IF(Chart!$E$6=$B7,Chart!$A$6&amp;", ","")&amp;IF(Chart!$E$7=$B7,Chart!$A$7&amp;", ","")&amp;IF(Chart!$E$8=$B7,Chart!$A$8&amp;", ","")&amp;IF(Chart!$E$9=$B7,Chart!$A$9&amp;", ","")&amp;IF(Chart!$E$10=$B7,Chart!$A$10&amp;", ","")&amp;IF(Chart!$E$11=$B7,Chart!$A$11&amp;", ","")&amp;IF(Chart!$E$12=$B7,Chart!$A$12&amp;", ","")&amp;IF(Chart!$E$13=$B7,Chart!$A$13&amp;", ","")</f>
        <v/>
      </c>
    </row>
    <row r="8">
      <c r="A8" t="inlineStr">
        <is>
          <t>Trikona</t>
        </is>
      </c>
      <c r="B8" t="n">
        <v>1</v>
      </c>
      <c r="C8">
        <f>INDEX(Ref_Calc!$B$3:$B$14,MOD(Chart!$D$3+B8-1,12)+1)</f>
        <v/>
      </c>
      <c r="D8">
        <f>IF(O8="","",LEFT(O8,LEN(O8)-2))</f>
        <v/>
      </c>
      <c r="E8">
        <f>INDEX(Ref_Calc!$D$3:$D$14,MOD(Chart!$D$3+B8-1,12)+1)</f>
        <v/>
      </c>
      <c r="F8">
        <f>INDEX(Chart!$E$5:$E$13,MATCH(E8,Chart!$A$5:$A$13,0))</f>
        <v/>
      </c>
      <c r="O8">
        <f>IF(Chart!$E$5=$B8,Chart!$A$5&amp;", ","")&amp;IF(Chart!$E$6=$B8,Chart!$A$6&amp;", ","")&amp;IF(Chart!$E$7=$B8,Chart!$A$7&amp;", ","")&amp;IF(Chart!$E$8=$B8,Chart!$A$8&amp;", ","")&amp;IF(Chart!$E$9=$B8,Chart!$A$9&amp;", ","")&amp;IF(Chart!$E$10=$B8,Chart!$A$10&amp;", ","")&amp;IF(Chart!$E$11=$B8,Chart!$A$11&amp;", ","")&amp;IF(Chart!$E$12=$B8,Chart!$A$12&amp;", ","")&amp;IF(Chart!$E$13=$B8,Chart!$A$13&amp;", ","")</f>
        <v/>
      </c>
    </row>
    <row r="9">
      <c r="A9" t="inlineStr">
        <is>
          <t>Trikona</t>
        </is>
      </c>
      <c r="B9" t="n">
        <v>5</v>
      </c>
      <c r="C9">
        <f>INDEX(Ref_Calc!$B$3:$B$14,MOD(Chart!$D$3+B9-1,12)+1)</f>
        <v/>
      </c>
      <c r="D9">
        <f>IF(O9="","",LEFT(O9,LEN(O9)-2))</f>
        <v/>
      </c>
      <c r="E9">
        <f>INDEX(Ref_Calc!$D$3:$D$14,MOD(Chart!$D$3+B9-1,12)+1)</f>
        <v/>
      </c>
      <c r="F9">
        <f>INDEX(Chart!$E$5:$E$13,MATCH(E9,Chart!$A$5:$A$13,0))</f>
        <v/>
      </c>
      <c r="O9">
        <f>IF(Chart!$E$5=$B9,Chart!$A$5&amp;", ","")&amp;IF(Chart!$E$6=$B9,Chart!$A$6&amp;", ","")&amp;IF(Chart!$E$7=$B9,Chart!$A$7&amp;", ","")&amp;IF(Chart!$E$8=$B9,Chart!$A$8&amp;", ","")&amp;IF(Chart!$E$9=$B9,Chart!$A$9&amp;", ","")&amp;IF(Chart!$E$10=$B9,Chart!$A$10&amp;", ","")&amp;IF(Chart!$E$11=$B9,Chart!$A$11&amp;", ","")&amp;IF(Chart!$E$12=$B9,Chart!$A$12&amp;", ","")&amp;IF(Chart!$E$13=$B9,Chart!$A$13&amp;", ","")</f>
        <v/>
      </c>
    </row>
    <row r="10">
      <c r="A10" t="inlineStr">
        <is>
          <t>Trikona</t>
        </is>
      </c>
      <c r="B10" t="n">
        <v>9</v>
      </c>
      <c r="C10">
        <f>INDEX(Ref_Calc!$B$3:$B$14,MOD(Chart!$D$3+B10-1,12)+1)</f>
        <v/>
      </c>
      <c r="D10">
        <f>IF(O10="","",LEFT(O10,LEN(O10)-2))</f>
        <v/>
      </c>
      <c r="E10">
        <f>INDEX(Ref_Calc!$D$3:$D$14,MOD(Chart!$D$3+B10-1,12)+1)</f>
        <v/>
      </c>
      <c r="F10">
        <f>INDEX(Chart!$E$5:$E$13,MATCH(E10,Chart!$A$5:$A$13,0))</f>
        <v/>
      </c>
      <c r="O10">
        <f>IF(Chart!$E$5=$B10,Chart!$A$5&amp;", ","")&amp;IF(Chart!$E$6=$B10,Chart!$A$6&amp;", ","")&amp;IF(Chart!$E$7=$B10,Chart!$A$7&amp;", ","")&amp;IF(Chart!$E$8=$B10,Chart!$A$8&amp;", ","")&amp;IF(Chart!$E$9=$B10,Chart!$A$9&amp;", ","")&amp;IF(Chart!$E$10=$B10,Chart!$A$10&amp;", ","")&amp;IF(Chart!$E$11=$B10,Chart!$A$11&amp;", ","")&amp;IF(Chart!$E$12=$B10,Chart!$A$12&amp;", ","")&amp;IF(Chart!$E$13=$B10,Chart!$A$13&amp;", ","")</f>
        <v/>
      </c>
    </row>
    <row r="11">
      <c r="A11" t="inlineStr">
        <is>
          <t>Panapara</t>
        </is>
      </c>
      <c r="B11" t="n">
        <v>2</v>
      </c>
      <c r="C11">
        <f>INDEX(Ref_Calc!$B$3:$B$14,MOD(Chart!$D$3+B11-1,12)+1)</f>
        <v/>
      </c>
      <c r="D11">
        <f>IF(O11="","",LEFT(O11,LEN(O11)-2))</f>
        <v/>
      </c>
      <c r="E11">
        <f>INDEX(Ref_Calc!$D$3:$D$14,MOD(Chart!$D$3+B11-1,12)+1)</f>
        <v/>
      </c>
      <c r="F11">
        <f>INDEX(Chart!$E$5:$E$13,MATCH(E11,Chart!$A$5:$A$13,0))</f>
        <v/>
      </c>
      <c r="O11">
        <f>IF(Chart!$E$5=$B11,Chart!$A$5&amp;", ","")&amp;IF(Chart!$E$6=$B11,Chart!$A$6&amp;", ","")&amp;IF(Chart!$E$7=$B11,Chart!$A$7&amp;", ","")&amp;IF(Chart!$E$8=$B11,Chart!$A$8&amp;", ","")&amp;IF(Chart!$E$9=$B11,Chart!$A$9&amp;", ","")&amp;IF(Chart!$E$10=$B11,Chart!$A$10&amp;", ","")&amp;IF(Chart!$E$11=$B11,Chart!$A$11&amp;", ","")&amp;IF(Chart!$E$12=$B11,Chart!$A$12&amp;", ","")&amp;IF(Chart!$E$13=$B11,Chart!$A$13&amp;", ","")</f>
        <v/>
      </c>
    </row>
    <row r="12">
      <c r="A12" t="inlineStr">
        <is>
          <t>Panapara</t>
        </is>
      </c>
      <c r="B12" t="n">
        <v>5</v>
      </c>
      <c r="C12">
        <f>INDEX(Ref_Calc!$B$3:$B$14,MOD(Chart!$D$3+B12-1,12)+1)</f>
        <v/>
      </c>
      <c r="D12">
        <f>IF(O12="","",LEFT(O12,LEN(O12)-2))</f>
        <v/>
      </c>
      <c r="E12">
        <f>INDEX(Ref_Calc!$D$3:$D$14,MOD(Chart!$D$3+B12-1,12)+1)</f>
        <v/>
      </c>
      <c r="F12">
        <f>INDEX(Chart!$E$5:$E$13,MATCH(E12,Chart!$A$5:$A$13,0))</f>
        <v/>
      </c>
      <c r="O12">
        <f>IF(Chart!$E$5=$B12,Chart!$A$5&amp;", ","")&amp;IF(Chart!$E$6=$B12,Chart!$A$6&amp;", ","")&amp;IF(Chart!$E$7=$B12,Chart!$A$7&amp;", ","")&amp;IF(Chart!$E$8=$B12,Chart!$A$8&amp;", ","")&amp;IF(Chart!$E$9=$B12,Chart!$A$9&amp;", ","")&amp;IF(Chart!$E$10=$B12,Chart!$A$10&amp;", ","")&amp;IF(Chart!$E$11=$B12,Chart!$A$11&amp;", ","")&amp;IF(Chart!$E$12=$B12,Chart!$A$12&amp;", ","")&amp;IF(Chart!$E$13=$B12,Chart!$A$13&amp;", ","")</f>
        <v/>
      </c>
    </row>
    <row r="13">
      <c r="A13" t="inlineStr">
        <is>
          <t>Panapara</t>
        </is>
      </c>
      <c r="B13" t="n">
        <v>8</v>
      </c>
      <c r="C13">
        <f>INDEX(Ref_Calc!$B$3:$B$14,MOD(Chart!$D$3+B13-1,12)+1)</f>
        <v/>
      </c>
      <c r="D13">
        <f>IF(O13="","",LEFT(O13,LEN(O13)-2))</f>
        <v/>
      </c>
      <c r="E13">
        <f>INDEX(Ref_Calc!$D$3:$D$14,MOD(Chart!$D$3+B13-1,12)+1)</f>
        <v/>
      </c>
      <c r="F13">
        <f>INDEX(Chart!$E$5:$E$13,MATCH(E13,Chart!$A$5:$A$13,0))</f>
        <v/>
      </c>
      <c r="O13">
        <f>IF(Chart!$E$5=$B13,Chart!$A$5&amp;", ","")&amp;IF(Chart!$E$6=$B13,Chart!$A$6&amp;", ","")&amp;IF(Chart!$E$7=$B13,Chart!$A$7&amp;", ","")&amp;IF(Chart!$E$8=$B13,Chart!$A$8&amp;", ","")&amp;IF(Chart!$E$9=$B13,Chart!$A$9&amp;", ","")&amp;IF(Chart!$E$10=$B13,Chart!$A$10&amp;", ","")&amp;IF(Chart!$E$11=$B13,Chart!$A$11&amp;", ","")&amp;IF(Chart!$E$12=$B13,Chart!$A$12&amp;", ","")&amp;IF(Chart!$E$13=$B13,Chart!$A$13&amp;", ","")</f>
        <v/>
      </c>
    </row>
    <row r="14">
      <c r="A14" t="inlineStr">
        <is>
          <t>Panapara</t>
        </is>
      </c>
      <c r="B14" t="n">
        <v>11</v>
      </c>
      <c r="C14">
        <f>INDEX(Ref_Calc!$B$3:$B$14,MOD(Chart!$D$3+B14-1,12)+1)</f>
        <v/>
      </c>
      <c r="D14">
        <f>IF(O14="","",LEFT(O14,LEN(O14)-2))</f>
        <v/>
      </c>
      <c r="E14">
        <f>INDEX(Ref_Calc!$D$3:$D$14,MOD(Chart!$D$3+B14-1,12)+1)</f>
        <v/>
      </c>
      <c r="F14">
        <f>INDEX(Chart!$E$5:$E$13,MATCH(E14,Chart!$A$5:$A$13,0))</f>
        <v/>
      </c>
      <c r="O14">
        <f>IF(Chart!$E$5=$B14,Chart!$A$5&amp;", ","")&amp;IF(Chart!$E$6=$B14,Chart!$A$6&amp;", ","")&amp;IF(Chart!$E$7=$B14,Chart!$A$7&amp;", ","")&amp;IF(Chart!$E$8=$B14,Chart!$A$8&amp;", ","")&amp;IF(Chart!$E$9=$B14,Chart!$A$9&amp;", ","")&amp;IF(Chart!$E$10=$B14,Chart!$A$10&amp;", ","")&amp;IF(Chart!$E$11=$B14,Chart!$A$11&amp;", ","")&amp;IF(Chart!$E$12=$B14,Chart!$A$12&amp;", ","")&amp;IF(Chart!$E$13=$B14,Chart!$A$13&amp;", ","")</f>
        <v/>
      </c>
    </row>
    <row r="15">
      <c r="A15" t="inlineStr">
        <is>
          <t>Apoklima</t>
        </is>
      </c>
      <c r="B15" t="n">
        <v>3</v>
      </c>
      <c r="C15">
        <f>INDEX(Ref_Calc!$B$3:$B$14,MOD(Chart!$D$3+B15-1,12)+1)</f>
        <v/>
      </c>
      <c r="D15">
        <f>IF(O15="","",LEFT(O15,LEN(O15)-2))</f>
        <v/>
      </c>
      <c r="E15">
        <f>INDEX(Ref_Calc!$D$3:$D$14,MOD(Chart!$D$3+B15-1,12)+1)</f>
        <v/>
      </c>
      <c r="F15">
        <f>INDEX(Chart!$E$5:$E$13,MATCH(E15,Chart!$A$5:$A$13,0))</f>
        <v/>
      </c>
      <c r="O15">
        <f>IF(Chart!$E$5=$B15,Chart!$A$5&amp;", ","")&amp;IF(Chart!$E$6=$B15,Chart!$A$6&amp;", ","")&amp;IF(Chart!$E$7=$B15,Chart!$A$7&amp;", ","")&amp;IF(Chart!$E$8=$B15,Chart!$A$8&amp;", ","")&amp;IF(Chart!$E$9=$B15,Chart!$A$9&amp;", ","")&amp;IF(Chart!$E$10=$B15,Chart!$A$10&amp;", ","")&amp;IF(Chart!$E$11=$B15,Chart!$A$11&amp;", ","")&amp;IF(Chart!$E$12=$B15,Chart!$A$12&amp;", ","")&amp;IF(Chart!$E$13=$B15,Chart!$A$13&amp;", ","")</f>
        <v/>
      </c>
    </row>
    <row r="16">
      <c r="A16" t="inlineStr">
        <is>
          <t>Apoklima</t>
        </is>
      </c>
      <c r="B16" t="n">
        <v>6</v>
      </c>
      <c r="C16">
        <f>INDEX(Ref_Calc!$B$3:$B$14,MOD(Chart!$D$3+B16-1,12)+1)</f>
        <v/>
      </c>
      <c r="D16">
        <f>IF(O16="","",LEFT(O16,LEN(O16)-2))</f>
        <v/>
      </c>
      <c r="E16">
        <f>INDEX(Ref_Calc!$D$3:$D$14,MOD(Chart!$D$3+B16-1,12)+1)</f>
        <v/>
      </c>
      <c r="F16">
        <f>INDEX(Chart!$E$5:$E$13,MATCH(E16,Chart!$A$5:$A$13,0))</f>
        <v/>
      </c>
      <c r="O16">
        <f>IF(Chart!$E$5=$B16,Chart!$A$5&amp;", ","")&amp;IF(Chart!$E$6=$B16,Chart!$A$6&amp;", ","")&amp;IF(Chart!$E$7=$B16,Chart!$A$7&amp;", ","")&amp;IF(Chart!$E$8=$B16,Chart!$A$8&amp;", ","")&amp;IF(Chart!$E$9=$B16,Chart!$A$9&amp;", ","")&amp;IF(Chart!$E$10=$B16,Chart!$A$10&amp;", ","")&amp;IF(Chart!$E$11=$B16,Chart!$A$11&amp;", ","")&amp;IF(Chart!$E$12=$B16,Chart!$A$12&amp;", ","")&amp;IF(Chart!$E$13=$B16,Chart!$A$13&amp;", ","")</f>
        <v/>
      </c>
    </row>
    <row r="17">
      <c r="A17" t="inlineStr">
        <is>
          <t>Apoklima</t>
        </is>
      </c>
      <c r="B17" t="n">
        <v>9</v>
      </c>
      <c r="C17">
        <f>INDEX(Ref_Calc!$B$3:$B$14,MOD(Chart!$D$3+B17-1,12)+1)</f>
        <v/>
      </c>
      <c r="D17">
        <f>IF(O17="","",LEFT(O17,LEN(O17)-2))</f>
        <v/>
      </c>
      <c r="E17">
        <f>INDEX(Ref_Calc!$D$3:$D$14,MOD(Chart!$D$3+B17-1,12)+1)</f>
        <v/>
      </c>
      <c r="F17">
        <f>INDEX(Chart!$E$5:$E$13,MATCH(E17,Chart!$A$5:$A$13,0))</f>
        <v/>
      </c>
      <c r="O17">
        <f>IF(Chart!$E$5=$B17,Chart!$A$5&amp;", ","")&amp;IF(Chart!$E$6=$B17,Chart!$A$6&amp;", ","")&amp;IF(Chart!$E$7=$B17,Chart!$A$7&amp;", ","")&amp;IF(Chart!$E$8=$B17,Chart!$A$8&amp;", ","")&amp;IF(Chart!$E$9=$B17,Chart!$A$9&amp;", ","")&amp;IF(Chart!$E$10=$B17,Chart!$A$10&amp;", ","")&amp;IF(Chart!$E$11=$B17,Chart!$A$11&amp;", ","")&amp;IF(Chart!$E$12=$B17,Chart!$A$12&amp;", ","")&amp;IF(Chart!$E$13=$B17,Chart!$A$13&amp;", ","")</f>
        <v/>
      </c>
    </row>
    <row r="18">
      <c r="A18" t="inlineStr">
        <is>
          <t>Apoklima</t>
        </is>
      </c>
      <c r="B18" t="n">
        <v>12</v>
      </c>
      <c r="C18">
        <f>INDEX(Ref_Calc!$B$3:$B$14,MOD(Chart!$D$3+B18-1,12)+1)</f>
        <v/>
      </c>
      <c r="D18">
        <f>IF(O18="","",LEFT(O18,LEN(O18)-2))</f>
        <v/>
      </c>
      <c r="E18">
        <f>INDEX(Ref_Calc!$D$3:$D$14,MOD(Chart!$D$3+B18-1,12)+1)</f>
        <v/>
      </c>
      <c r="F18">
        <f>INDEX(Chart!$E$5:$E$13,MATCH(E18,Chart!$A$5:$A$13,0))</f>
        <v/>
      </c>
      <c r="O18">
        <f>IF(Chart!$E$5=$B18,Chart!$A$5&amp;", ","")&amp;IF(Chart!$E$6=$B18,Chart!$A$6&amp;", ","")&amp;IF(Chart!$E$7=$B18,Chart!$A$7&amp;", ","")&amp;IF(Chart!$E$8=$B18,Chart!$A$8&amp;", ","")&amp;IF(Chart!$E$9=$B18,Chart!$A$9&amp;", ","")&amp;IF(Chart!$E$10=$B18,Chart!$A$10&amp;", ","")&amp;IF(Chart!$E$11=$B18,Chart!$A$11&amp;", ","")&amp;IF(Chart!$E$12=$B18,Chart!$A$12&amp;", ","")&amp;IF(Chart!$E$13=$B18,Chart!$A$13&amp;", ","")</f>
        <v/>
      </c>
    </row>
    <row r="19">
      <c r="A19" t="inlineStr">
        <is>
          <t>Upachaya</t>
        </is>
      </c>
      <c r="B19" t="n">
        <v>3</v>
      </c>
      <c r="C19">
        <f>INDEX(Ref_Calc!$B$3:$B$14,MOD(Chart!$D$3+B19-1,12)+1)</f>
        <v/>
      </c>
      <c r="D19">
        <f>IF(O19="","",LEFT(O19,LEN(O19)-2))</f>
        <v/>
      </c>
      <c r="E19">
        <f>INDEX(Ref_Calc!$D$3:$D$14,MOD(Chart!$D$3+B19-1,12)+1)</f>
        <v/>
      </c>
      <c r="F19">
        <f>INDEX(Chart!$E$5:$E$13,MATCH(E19,Chart!$A$5:$A$13,0))</f>
        <v/>
      </c>
      <c r="O19">
        <f>IF(Chart!$E$5=$B19,Chart!$A$5&amp;", ","")&amp;IF(Chart!$E$6=$B19,Chart!$A$6&amp;", ","")&amp;IF(Chart!$E$7=$B19,Chart!$A$7&amp;", ","")&amp;IF(Chart!$E$8=$B19,Chart!$A$8&amp;", ","")&amp;IF(Chart!$E$9=$B19,Chart!$A$9&amp;", ","")&amp;IF(Chart!$E$10=$B19,Chart!$A$10&amp;", ","")&amp;IF(Chart!$E$11=$B19,Chart!$A$11&amp;", ","")&amp;IF(Chart!$E$12=$B19,Chart!$A$12&amp;", ","")&amp;IF(Chart!$E$13=$B19,Chart!$A$13&amp;", ","")</f>
        <v/>
      </c>
    </row>
    <row r="20">
      <c r="A20" t="inlineStr">
        <is>
          <t>Upachaya</t>
        </is>
      </c>
      <c r="B20" t="n">
        <v>6</v>
      </c>
      <c r="C20">
        <f>INDEX(Ref_Calc!$B$3:$B$14,MOD(Chart!$D$3+B20-1,12)+1)</f>
        <v/>
      </c>
      <c r="D20">
        <f>IF(O20="","",LEFT(O20,LEN(O20)-2))</f>
        <v/>
      </c>
      <c r="E20">
        <f>INDEX(Ref_Calc!$D$3:$D$14,MOD(Chart!$D$3+B20-1,12)+1)</f>
        <v/>
      </c>
      <c r="F20">
        <f>INDEX(Chart!$E$5:$E$13,MATCH(E20,Chart!$A$5:$A$13,0))</f>
        <v/>
      </c>
      <c r="O20">
        <f>IF(Chart!$E$5=$B20,Chart!$A$5&amp;", ","")&amp;IF(Chart!$E$6=$B20,Chart!$A$6&amp;", ","")&amp;IF(Chart!$E$7=$B20,Chart!$A$7&amp;", ","")&amp;IF(Chart!$E$8=$B20,Chart!$A$8&amp;", ","")&amp;IF(Chart!$E$9=$B20,Chart!$A$9&amp;", ","")&amp;IF(Chart!$E$10=$B20,Chart!$A$10&amp;", ","")&amp;IF(Chart!$E$11=$B20,Chart!$A$11&amp;", ","")&amp;IF(Chart!$E$12=$B20,Chart!$A$12&amp;", ","")&amp;IF(Chart!$E$13=$B20,Chart!$A$13&amp;", ","")</f>
        <v/>
      </c>
    </row>
    <row r="21">
      <c r="A21" t="inlineStr">
        <is>
          <t>Upachaya</t>
        </is>
      </c>
      <c r="B21" t="n">
        <v>10</v>
      </c>
      <c r="C21">
        <f>INDEX(Ref_Calc!$B$3:$B$14,MOD(Chart!$D$3+B21-1,12)+1)</f>
        <v/>
      </c>
      <c r="D21">
        <f>IF(O21="","",LEFT(O21,LEN(O21)-2))</f>
        <v/>
      </c>
      <c r="E21">
        <f>INDEX(Ref_Calc!$D$3:$D$14,MOD(Chart!$D$3+B21-1,12)+1)</f>
        <v/>
      </c>
      <c r="F21">
        <f>INDEX(Chart!$E$5:$E$13,MATCH(E21,Chart!$A$5:$A$13,0))</f>
        <v/>
      </c>
      <c r="O21">
        <f>IF(Chart!$E$5=$B21,Chart!$A$5&amp;", ","")&amp;IF(Chart!$E$6=$B21,Chart!$A$6&amp;", ","")&amp;IF(Chart!$E$7=$B21,Chart!$A$7&amp;", ","")&amp;IF(Chart!$E$8=$B21,Chart!$A$8&amp;", ","")&amp;IF(Chart!$E$9=$B21,Chart!$A$9&amp;", ","")&amp;IF(Chart!$E$10=$B21,Chart!$A$10&amp;", ","")&amp;IF(Chart!$E$11=$B21,Chart!$A$11&amp;", ","")&amp;IF(Chart!$E$12=$B21,Chart!$A$12&amp;", ","")&amp;IF(Chart!$E$13=$B21,Chart!$A$13&amp;", ","")</f>
        <v/>
      </c>
    </row>
    <row r="22">
      <c r="A22" t="inlineStr">
        <is>
          <t>Upachaya</t>
        </is>
      </c>
      <c r="B22" t="n">
        <v>11</v>
      </c>
      <c r="C22">
        <f>INDEX(Ref_Calc!$B$3:$B$14,MOD(Chart!$D$3+B22-1,12)+1)</f>
        <v/>
      </c>
      <c r="D22">
        <f>IF(O22="","",LEFT(O22,LEN(O22)-2))</f>
        <v/>
      </c>
      <c r="E22">
        <f>INDEX(Ref_Calc!$D$3:$D$14,MOD(Chart!$D$3+B22-1,12)+1)</f>
        <v/>
      </c>
      <c r="F22">
        <f>INDEX(Chart!$E$5:$E$13,MATCH(E22,Chart!$A$5:$A$13,0))</f>
        <v/>
      </c>
      <c r="O22">
        <f>IF(Chart!$E$5=$B22,Chart!$A$5&amp;", ","")&amp;IF(Chart!$E$6=$B22,Chart!$A$6&amp;", ","")&amp;IF(Chart!$E$7=$B22,Chart!$A$7&amp;", ","")&amp;IF(Chart!$E$8=$B22,Chart!$A$8&amp;", ","")&amp;IF(Chart!$E$9=$B22,Chart!$A$9&amp;", ","")&amp;IF(Chart!$E$10=$B22,Chart!$A$10&amp;", ","")&amp;IF(Chart!$E$11=$B22,Chart!$A$11&amp;", ","")&amp;IF(Chart!$E$12=$B22,Chart!$A$12&amp;", ","")&amp;IF(Chart!$E$13=$B22,Chart!$A$13&amp;", ","")</f>
        <v/>
      </c>
    </row>
    <row r="23">
      <c r="A23" t="inlineStr">
        <is>
          <t>Apachaya</t>
        </is>
      </c>
      <c r="B23" t="n">
        <v>1</v>
      </c>
      <c r="C23">
        <f>INDEX(Ref_Calc!$B$3:$B$14,MOD(Chart!$D$3+B23-1,12)+1)</f>
        <v/>
      </c>
      <c r="D23">
        <f>IF(O23="","",LEFT(O23,LEN(O23)-2))</f>
        <v/>
      </c>
      <c r="E23">
        <f>INDEX(Ref_Calc!$D$3:$D$14,MOD(Chart!$D$3+B23-1,12)+1)</f>
        <v/>
      </c>
      <c r="F23">
        <f>INDEX(Chart!$E$5:$E$13,MATCH(E23,Chart!$A$5:$A$13,0))</f>
        <v/>
      </c>
      <c r="O23">
        <f>IF(Chart!$E$5=$B23,Chart!$A$5&amp;", ","")&amp;IF(Chart!$E$6=$B23,Chart!$A$6&amp;", ","")&amp;IF(Chart!$E$7=$B23,Chart!$A$7&amp;", ","")&amp;IF(Chart!$E$8=$B23,Chart!$A$8&amp;", ","")&amp;IF(Chart!$E$9=$B23,Chart!$A$9&amp;", ","")&amp;IF(Chart!$E$10=$B23,Chart!$A$10&amp;", ","")&amp;IF(Chart!$E$11=$B23,Chart!$A$11&amp;", ","")&amp;IF(Chart!$E$12=$B23,Chart!$A$12&amp;", ","")&amp;IF(Chart!$E$13=$B23,Chart!$A$13&amp;", ","")</f>
        <v/>
      </c>
    </row>
    <row r="24">
      <c r="A24" t="inlineStr">
        <is>
          <t>Apachaya</t>
        </is>
      </c>
      <c r="B24" t="n">
        <v>2</v>
      </c>
      <c r="C24">
        <f>INDEX(Ref_Calc!$B$3:$B$14,MOD(Chart!$D$3+B24-1,12)+1)</f>
        <v/>
      </c>
      <c r="D24">
        <f>IF(O24="","",LEFT(O24,LEN(O24)-2))</f>
        <v/>
      </c>
      <c r="E24">
        <f>INDEX(Ref_Calc!$D$3:$D$14,MOD(Chart!$D$3+B24-1,12)+1)</f>
        <v/>
      </c>
      <c r="F24">
        <f>INDEX(Chart!$E$5:$E$13,MATCH(E24,Chart!$A$5:$A$13,0))</f>
        <v/>
      </c>
      <c r="O24">
        <f>IF(Chart!$E$5=$B24,Chart!$A$5&amp;", ","")&amp;IF(Chart!$E$6=$B24,Chart!$A$6&amp;", ","")&amp;IF(Chart!$E$7=$B24,Chart!$A$7&amp;", ","")&amp;IF(Chart!$E$8=$B24,Chart!$A$8&amp;", ","")&amp;IF(Chart!$E$9=$B24,Chart!$A$9&amp;", ","")&amp;IF(Chart!$E$10=$B24,Chart!$A$10&amp;", ","")&amp;IF(Chart!$E$11=$B24,Chart!$A$11&amp;", ","")&amp;IF(Chart!$E$12=$B24,Chart!$A$12&amp;", ","")&amp;IF(Chart!$E$13=$B24,Chart!$A$13&amp;", ","")</f>
        <v/>
      </c>
    </row>
    <row r="25">
      <c r="A25" t="inlineStr">
        <is>
          <t>Apachaya</t>
        </is>
      </c>
      <c r="B25" t="n">
        <v>4</v>
      </c>
      <c r="C25">
        <f>INDEX(Ref_Calc!$B$3:$B$14,MOD(Chart!$D$3+B25-1,12)+1)</f>
        <v/>
      </c>
      <c r="D25">
        <f>IF(O25="","",LEFT(O25,LEN(O25)-2))</f>
        <v/>
      </c>
      <c r="E25">
        <f>INDEX(Ref_Calc!$D$3:$D$14,MOD(Chart!$D$3+B25-1,12)+1)</f>
        <v/>
      </c>
      <c r="F25">
        <f>INDEX(Chart!$E$5:$E$13,MATCH(E25,Chart!$A$5:$A$13,0))</f>
        <v/>
      </c>
      <c r="O25">
        <f>IF(Chart!$E$5=$B25,Chart!$A$5&amp;", ","")&amp;IF(Chart!$E$6=$B25,Chart!$A$6&amp;", ","")&amp;IF(Chart!$E$7=$B25,Chart!$A$7&amp;", ","")&amp;IF(Chart!$E$8=$B25,Chart!$A$8&amp;", ","")&amp;IF(Chart!$E$9=$B25,Chart!$A$9&amp;", ","")&amp;IF(Chart!$E$10=$B25,Chart!$A$10&amp;", ","")&amp;IF(Chart!$E$11=$B25,Chart!$A$11&amp;", ","")&amp;IF(Chart!$E$12=$B25,Chart!$A$12&amp;", ","")&amp;IF(Chart!$E$13=$B25,Chart!$A$13&amp;", ","")</f>
        <v/>
      </c>
    </row>
    <row r="26">
      <c r="A26" t="inlineStr">
        <is>
          <t>Apachaya</t>
        </is>
      </c>
      <c r="B26" t="n">
        <v>7</v>
      </c>
      <c r="C26">
        <f>INDEX(Ref_Calc!$B$3:$B$14,MOD(Chart!$D$3+B26-1,12)+1)</f>
        <v/>
      </c>
      <c r="D26">
        <f>IF(O26="","",LEFT(O26,LEN(O26)-2))</f>
        <v/>
      </c>
      <c r="E26">
        <f>INDEX(Ref_Calc!$D$3:$D$14,MOD(Chart!$D$3+B26-1,12)+1)</f>
        <v/>
      </c>
      <c r="F26">
        <f>INDEX(Chart!$E$5:$E$13,MATCH(E26,Chart!$A$5:$A$13,0))</f>
        <v/>
      </c>
      <c r="O26">
        <f>IF(Chart!$E$5=$B26,Chart!$A$5&amp;", ","")&amp;IF(Chart!$E$6=$B26,Chart!$A$6&amp;", ","")&amp;IF(Chart!$E$7=$B26,Chart!$A$7&amp;", ","")&amp;IF(Chart!$E$8=$B26,Chart!$A$8&amp;", ","")&amp;IF(Chart!$E$9=$B26,Chart!$A$9&amp;", ","")&amp;IF(Chart!$E$10=$B26,Chart!$A$10&amp;", ","")&amp;IF(Chart!$E$11=$B26,Chart!$A$11&amp;", ","")&amp;IF(Chart!$E$12=$B26,Chart!$A$12&amp;", ","")&amp;IF(Chart!$E$13=$B26,Chart!$A$13&amp;", ","")</f>
        <v/>
      </c>
    </row>
    <row r="27">
      <c r="A27" t="inlineStr">
        <is>
          <t>Apachaya</t>
        </is>
      </c>
      <c r="B27" t="n">
        <v>8</v>
      </c>
      <c r="C27">
        <f>INDEX(Ref_Calc!$B$3:$B$14,MOD(Chart!$D$3+B27-1,12)+1)</f>
        <v/>
      </c>
      <c r="D27">
        <f>IF(O27="","",LEFT(O27,LEN(O27)-2))</f>
        <v/>
      </c>
      <c r="E27">
        <f>INDEX(Ref_Calc!$D$3:$D$14,MOD(Chart!$D$3+B27-1,12)+1)</f>
        <v/>
      </c>
      <c r="F27">
        <f>INDEX(Chart!$E$5:$E$13,MATCH(E27,Chart!$A$5:$A$13,0))</f>
        <v/>
      </c>
      <c r="O27">
        <f>IF(Chart!$E$5=$B27,Chart!$A$5&amp;", ","")&amp;IF(Chart!$E$6=$B27,Chart!$A$6&amp;", ","")&amp;IF(Chart!$E$7=$B27,Chart!$A$7&amp;", ","")&amp;IF(Chart!$E$8=$B27,Chart!$A$8&amp;", ","")&amp;IF(Chart!$E$9=$B27,Chart!$A$9&amp;", ","")&amp;IF(Chart!$E$10=$B27,Chart!$A$10&amp;", ","")&amp;IF(Chart!$E$11=$B27,Chart!$A$11&amp;", ","")&amp;IF(Chart!$E$12=$B27,Chart!$A$12&amp;", ","")&amp;IF(Chart!$E$13=$B27,Chart!$A$13&amp;", ","")</f>
        <v/>
      </c>
    </row>
    <row r="28">
      <c r="A28" t="inlineStr">
        <is>
          <t>Maraka</t>
        </is>
      </c>
      <c r="B28" t="n">
        <v>2</v>
      </c>
      <c r="C28">
        <f>INDEX(Ref_Calc!$B$3:$B$14,MOD(Chart!$D$3+B28-1,12)+1)</f>
        <v/>
      </c>
      <c r="D28">
        <f>IF(O28="","",LEFT(O28,LEN(O28)-2))</f>
        <v/>
      </c>
      <c r="E28">
        <f>INDEX(Ref_Calc!$D$3:$D$14,MOD(Chart!$D$3+B28-1,12)+1)</f>
        <v/>
      </c>
      <c r="F28">
        <f>INDEX(Chart!$E$5:$E$13,MATCH(E28,Chart!$A$5:$A$13,0))</f>
        <v/>
      </c>
      <c r="O28">
        <f>IF(Chart!$E$5=$B28,Chart!$A$5&amp;", ","")&amp;IF(Chart!$E$6=$B28,Chart!$A$6&amp;", ","")&amp;IF(Chart!$E$7=$B28,Chart!$A$7&amp;", ","")&amp;IF(Chart!$E$8=$B28,Chart!$A$8&amp;", ","")&amp;IF(Chart!$E$9=$B28,Chart!$A$9&amp;", ","")&amp;IF(Chart!$E$10=$B28,Chart!$A$10&amp;", ","")&amp;IF(Chart!$E$11=$B28,Chart!$A$11&amp;", ","")&amp;IF(Chart!$E$12=$B28,Chart!$A$12&amp;", ","")&amp;IF(Chart!$E$13=$B28,Chart!$A$13&amp;", ","")</f>
        <v/>
      </c>
    </row>
    <row r="29">
      <c r="A29" t="inlineStr">
        <is>
          <t>Maraka</t>
        </is>
      </c>
      <c r="B29" t="n">
        <v>7</v>
      </c>
      <c r="C29">
        <f>INDEX(Ref_Calc!$B$3:$B$14,MOD(Chart!$D$3+B29-1,12)+1)</f>
        <v/>
      </c>
      <c r="D29">
        <f>IF(O29="","",LEFT(O29,LEN(O29)-2))</f>
        <v/>
      </c>
      <c r="E29">
        <f>INDEX(Ref_Calc!$D$3:$D$14,MOD(Chart!$D$3+B29-1,12)+1)</f>
        <v/>
      </c>
      <c r="F29">
        <f>INDEX(Chart!$E$5:$E$13,MATCH(E29,Chart!$A$5:$A$13,0))</f>
        <v/>
      </c>
      <c r="O29">
        <f>IF(Chart!$E$5=$B29,Chart!$A$5&amp;", ","")&amp;IF(Chart!$E$6=$B29,Chart!$A$6&amp;", ","")&amp;IF(Chart!$E$7=$B29,Chart!$A$7&amp;", ","")&amp;IF(Chart!$E$8=$B29,Chart!$A$8&amp;", ","")&amp;IF(Chart!$E$9=$B29,Chart!$A$9&amp;", ","")&amp;IF(Chart!$E$10=$B29,Chart!$A$10&amp;", ","")&amp;IF(Chart!$E$11=$B29,Chart!$A$11&amp;", ","")&amp;IF(Chart!$E$12=$B29,Chart!$A$12&amp;", ","")&amp;IF(Chart!$E$13=$B29,Chart!$A$13&amp;", ","")</f>
        <v/>
      </c>
    </row>
    <row r="30">
      <c r="A30" t="inlineStr">
        <is>
          <t>Dusthana</t>
        </is>
      </c>
      <c r="B30" t="n">
        <v>6</v>
      </c>
      <c r="C30">
        <f>INDEX(Ref_Calc!$B$3:$B$14,MOD(Chart!$D$3+B30-1,12)+1)</f>
        <v/>
      </c>
      <c r="D30">
        <f>IF(O30="","",LEFT(O30,LEN(O30)-2))</f>
        <v/>
      </c>
      <c r="E30">
        <f>INDEX(Ref_Calc!$D$3:$D$14,MOD(Chart!$D$3+B30-1,12)+1)</f>
        <v/>
      </c>
      <c r="F30">
        <f>INDEX(Chart!$E$5:$E$13,MATCH(E30,Chart!$A$5:$A$13,0))</f>
        <v/>
      </c>
      <c r="O30">
        <f>IF(Chart!$E$5=$B30,Chart!$A$5&amp;", ","")&amp;IF(Chart!$E$6=$B30,Chart!$A$6&amp;", ","")&amp;IF(Chart!$E$7=$B30,Chart!$A$7&amp;", ","")&amp;IF(Chart!$E$8=$B30,Chart!$A$8&amp;", ","")&amp;IF(Chart!$E$9=$B30,Chart!$A$9&amp;", ","")&amp;IF(Chart!$E$10=$B30,Chart!$A$10&amp;", ","")&amp;IF(Chart!$E$11=$B30,Chart!$A$11&amp;", ","")&amp;IF(Chart!$E$12=$B30,Chart!$A$12&amp;", ","")&amp;IF(Chart!$E$13=$B30,Chart!$A$13&amp;", ","")</f>
        <v/>
      </c>
    </row>
    <row r="31">
      <c r="A31" t="inlineStr">
        <is>
          <t>Dusthana</t>
        </is>
      </c>
      <c r="B31" t="n">
        <v>8</v>
      </c>
      <c r="C31">
        <f>INDEX(Ref_Calc!$B$3:$B$14,MOD(Chart!$D$3+B31-1,12)+1)</f>
        <v/>
      </c>
      <c r="D31">
        <f>IF(O31="","",LEFT(O31,LEN(O31)-2))</f>
        <v/>
      </c>
      <c r="E31">
        <f>INDEX(Ref_Calc!$D$3:$D$14,MOD(Chart!$D$3+B31-1,12)+1)</f>
        <v/>
      </c>
      <c r="F31">
        <f>INDEX(Chart!$E$5:$E$13,MATCH(E31,Chart!$A$5:$A$13,0))</f>
        <v/>
      </c>
      <c r="O31">
        <f>IF(Chart!$E$5=$B31,Chart!$A$5&amp;", ","")&amp;IF(Chart!$E$6=$B31,Chart!$A$6&amp;", ","")&amp;IF(Chart!$E$7=$B31,Chart!$A$7&amp;", ","")&amp;IF(Chart!$E$8=$B31,Chart!$A$8&amp;", ","")&amp;IF(Chart!$E$9=$B31,Chart!$A$9&amp;", ","")&amp;IF(Chart!$E$10=$B31,Chart!$A$10&amp;", ","")&amp;IF(Chart!$E$11=$B31,Chart!$A$11&amp;", ","")&amp;IF(Chart!$E$12=$B31,Chart!$A$12&amp;", ","")&amp;IF(Chart!$E$13=$B31,Chart!$A$13&amp;", ","")</f>
        <v/>
      </c>
    </row>
    <row r="32">
      <c r="A32" t="inlineStr">
        <is>
          <t>Dusthana</t>
        </is>
      </c>
      <c r="B32" t="n">
        <v>12</v>
      </c>
      <c r="C32">
        <f>INDEX(Ref_Calc!$B$3:$B$14,MOD(Chart!$D$3+B32-1,12)+1)</f>
        <v/>
      </c>
      <c r="D32">
        <f>IF(O32="","",LEFT(O32,LEN(O32)-2))</f>
        <v/>
      </c>
      <c r="E32">
        <f>INDEX(Ref_Calc!$D$3:$D$14,MOD(Chart!$D$3+B32-1,12)+1)</f>
        <v/>
      </c>
      <c r="F32">
        <f>INDEX(Chart!$E$5:$E$13,MATCH(E32,Chart!$A$5:$A$13,0))</f>
        <v/>
      </c>
      <c r="O32">
        <f>IF(Chart!$E$5=$B32,Chart!$A$5&amp;", ","")&amp;IF(Chart!$E$6=$B32,Chart!$A$6&amp;", ","")&amp;IF(Chart!$E$7=$B32,Chart!$A$7&amp;", ","")&amp;IF(Chart!$E$8=$B32,Chart!$A$8&amp;", ","")&amp;IF(Chart!$E$9=$B32,Chart!$A$9&amp;", ","")&amp;IF(Chart!$E$10=$B32,Chart!$A$10&amp;", ","")&amp;IF(Chart!$E$11=$B32,Chart!$A$11&amp;", ","")&amp;IF(Chart!$E$12=$B32,Chart!$A$12&amp;", ","")&amp;IF(Chart!$E$13=$B32,Chart!$A$13&amp;", ","")</f>
        <v/>
      </c>
    </row>
    <row r="33">
      <c r="A33" t="inlineStr">
        <is>
          <t>Badhaka</t>
        </is>
      </c>
      <c r="B33">
        <f>$C$40</f>
        <v/>
      </c>
      <c r="C33">
        <f>INDEX(Ref_Calc!$B$3:$B$14,MOD(Chart!$D$3+B33-1,12)+1)</f>
        <v/>
      </c>
      <c r="D33">
        <f>IF(O33="","",LEFT(O33,LEN(O33)-2))</f>
        <v/>
      </c>
      <c r="E33">
        <f>INDEX(Ref_Calc!$D$3:$D$14,MOD(Chart!$D$3+B33-1,12)+1)</f>
        <v/>
      </c>
      <c r="F33">
        <f>INDEX(Chart!$E$5:$E$13,MATCH(E33,Chart!$A$5:$A$13,0))</f>
        <v/>
      </c>
      <c r="O33">
        <f>IF(Chart!$E$5=$B33,Chart!$A$5&amp;", ","")&amp;IF(Chart!$E$6=$B33,Chart!$A$6&amp;", ","")&amp;IF(Chart!$E$7=$B33,Chart!$A$7&amp;", ","")&amp;IF(Chart!$E$8=$B33,Chart!$A$8&amp;", ","")&amp;IF(Chart!$E$9=$B33,Chart!$A$9&amp;", ","")&amp;IF(Chart!$E$10=$B33,Chart!$A$10&amp;", ","")&amp;IF(Chart!$E$11=$B33,Chart!$A$11&amp;", ","")&amp;IF(Chart!$E$12=$B33,Chart!$A$12&amp;", ","")&amp;IF(Chart!$E$13=$B33,Chart!$A$13&amp;", ","")</f>
        <v/>
      </c>
    </row>
    <row r="34">
      <c r="A34" t="inlineStr">
        <is>
          <t>Trishadaya</t>
        </is>
      </c>
      <c r="B34" t="n">
        <v>3</v>
      </c>
      <c r="C34">
        <f>INDEX(Ref_Calc!$B$3:$B$14,MOD(Chart!$D$3+B34-1,12)+1)</f>
        <v/>
      </c>
      <c r="D34">
        <f>IF(O34="","",LEFT(O34,LEN(O34)-2))</f>
        <v/>
      </c>
      <c r="E34">
        <f>INDEX(Ref_Calc!$D$3:$D$14,MOD(Chart!$D$3+B34-1,12)+1)</f>
        <v/>
      </c>
      <c r="F34">
        <f>INDEX(Chart!$E$5:$E$13,MATCH(E34,Chart!$A$5:$A$13,0))</f>
        <v/>
      </c>
      <c r="O34">
        <f>IF(Chart!$E$5=$B34,Chart!$A$5&amp;", ","")&amp;IF(Chart!$E$6=$B34,Chart!$A$6&amp;", ","")&amp;IF(Chart!$E$7=$B34,Chart!$A$7&amp;", ","")&amp;IF(Chart!$E$8=$B34,Chart!$A$8&amp;", ","")&amp;IF(Chart!$E$9=$B34,Chart!$A$9&amp;", ","")&amp;IF(Chart!$E$10=$B34,Chart!$A$10&amp;", ","")&amp;IF(Chart!$E$11=$B34,Chart!$A$11&amp;", ","")&amp;IF(Chart!$E$12=$B34,Chart!$A$12&amp;", ","")&amp;IF(Chart!$E$13=$B34,Chart!$A$13&amp;", ","")</f>
        <v/>
      </c>
    </row>
    <row r="35">
      <c r="A35" t="inlineStr">
        <is>
          <t>Trishadaya</t>
        </is>
      </c>
      <c r="B35" t="n">
        <v>6</v>
      </c>
      <c r="C35">
        <f>INDEX(Ref_Calc!$B$3:$B$14,MOD(Chart!$D$3+B35-1,12)+1)</f>
        <v/>
      </c>
      <c r="D35">
        <f>IF(O35="","",LEFT(O35,LEN(O35)-2))</f>
        <v/>
      </c>
      <c r="E35">
        <f>INDEX(Ref_Calc!$D$3:$D$14,MOD(Chart!$D$3+B35-1,12)+1)</f>
        <v/>
      </c>
      <c r="F35">
        <f>INDEX(Chart!$E$5:$E$13,MATCH(E35,Chart!$A$5:$A$13,0))</f>
        <v/>
      </c>
      <c r="O35">
        <f>IF(Chart!$E$5=$B35,Chart!$A$5&amp;", ","")&amp;IF(Chart!$E$6=$B35,Chart!$A$6&amp;", ","")&amp;IF(Chart!$E$7=$B35,Chart!$A$7&amp;", ","")&amp;IF(Chart!$E$8=$B35,Chart!$A$8&amp;", ","")&amp;IF(Chart!$E$9=$B35,Chart!$A$9&amp;", ","")&amp;IF(Chart!$E$10=$B35,Chart!$A$10&amp;", ","")&amp;IF(Chart!$E$11=$B35,Chart!$A$11&amp;", ","")&amp;IF(Chart!$E$12=$B35,Chart!$A$12&amp;", ","")&amp;IF(Chart!$E$13=$B35,Chart!$A$13&amp;", ","")</f>
        <v/>
      </c>
    </row>
    <row r="36">
      <c r="A36" t="inlineStr">
        <is>
          <t>Trishadaya</t>
        </is>
      </c>
      <c r="B36" t="n">
        <v>11</v>
      </c>
      <c r="C36">
        <f>INDEX(Ref_Calc!$B$3:$B$14,MOD(Chart!$D$3+B36-1,12)+1)</f>
        <v/>
      </c>
      <c r="D36">
        <f>IF(O36="","",LEFT(O36,LEN(O36)-2))</f>
        <v/>
      </c>
      <c r="E36">
        <f>INDEX(Ref_Calc!$D$3:$D$14,MOD(Chart!$D$3+B36-1,12)+1)</f>
        <v/>
      </c>
      <c r="F36">
        <f>INDEX(Chart!$E$5:$E$13,MATCH(E36,Chart!$A$5:$A$13,0))</f>
        <v/>
      </c>
      <c r="O36">
        <f>IF(Chart!$E$5=$B36,Chart!$A$5&amp;", ","")&amp;IF(Chart!$E$6=$B36,Chart!$A$6&amp;", ","")&amp;IF(Chart!$E$7=$B36,Chart!$A$7&amp;", ","")&amp;IF(Chart!$E$8=$B36,Chart!$A$8&amp;", ","")&amp;IF(Chart!$E$9=$B36,Chart!$A$9&amp;", ","")&amp;IF(Chart!$E$10=$B36,Chart!$A$10&amp;", ","")&amp;IF(Chart!$E$11=$B36,Chart!$A$11&amp;", ","")&amp;IF(Chart!$E$12=$B36,Chart!$A$12&amp;", ","")&amp;IF(Chart!$E$13=$B36,Chart!$A$13&amp;", ","")</f>
        <v/>
      </c>
    </row>
    <row r="38">
      <c r="A38" s="15" t="inlineStr">
        <is>
          <t>Badhaka for this Lagna</t>
        </is>
      </c>
    </row>
    <row r="39">
      <c r="A39" s="13" t="inlineStr"/>
      <c r="B39" s="13" t="inlineStr">
        <is>
          <t>Mode</t>
        </is>
      </c>
      <c r="C39" s="13" t="inlineStr">
        <is>
          <t>House</t>
        </is>
      </c>
      <c r="D39" s="13" t="inlineStr">
        <is>
          <t>Rāśi</t>
        </is>
      </c>
      <c r="E39" s="13" t="inlineStr">
        <is>
          <t>Badhakādhipati</t>
        </is>
      </c>
      <c r="F39" s="13" t="inlineStr">
        <is>
          <t>Planets in it</t>
        </is>
      </c>
    </row>
    <row r="40">
      <c r="A40" t="inlineStr">
        <is>
          <t>Badhaka sthāna</t>
        </is>
      </c>
      <c r="B40">
        <f>INDEX(Ref_Calc!$E$3:$E$14,Chart!$D$3+1)</f>
        <v/>
      </c>
      <c r="C40">
        <f>INDEX(Badhaka!$B$2:$B$4,MATCH(B40,Badhaka!$A$2:$A$4,0))</f>
        <v/>
      </c>
      <c r="D40">
        <f>INDEX(Ref_Calc!$B$3:$B$14,MOD(Chart!$D$3+C40-1,12)+1)</f>
        <v/>
      </c>
      <c r="E40">
        <f>INDEX(Ref_Calc!$D$3:$D$14,MOD(Chart!$D$3+C40-1,12)+1)</f>
        <v/>
      </c>
      <c r="F40">
        <f>IF(O40="","",LEFT(O40,LEN(O40)-2))</f>
        <v/>
      </c>
      <c r="O40">
        <f>IF(Chart!$E$5=$C40,Chart!$A$5&amp;", ","")&amp;IF(Chart!$E$6=$C40,Chart!$A$6&amp;", ","")&amp;IF(Chart!$E$7=$C40,Chart!$A$7&amp;", ","")&amp;IF(Chart!$E$8=$C40,Chart!$A$8&amp;", ","")&amp;IF(Chart!$E$9=$C40,Chart!$A$9&amp;", ","")&amp;IF(Chart!$E$10=$C40,Chart!$A$10&amp;", ","")&amp;IF(Chart!$E$11=$C40,Chart!$A$11&amp;", ","")&amp;IF(Chart!$E$12=$C40,Chart!$A$12&amp;", ","")&amp;IF(Chart!$E$13=$C40,Chart!$A$13&amp;", ","")</f>
        <v/>
      </c>
    </row>
    <row r="43">
      <c r="A43" s="15" t="inlineStr">
        <is>
          <t>House × class (1 = the house belongs to the class)</t>
        </is>
      </c>
    </row>
    <row r="44">
      <c r="A44" s="13" t="inlineStr">
        <is>
          <t>House</t>
        </is>
      </c>
      <c r="B44" s="13" t="inlineStr">
        <is>
          <t>Rāśi</t>
        </is>
      </c>
      <c r="C44" s="13" t="inlineStr">
        <is>
          <t>Kendra</t>
        </is>
      </c>
      <c r="D44" s="13" t="inlineStr">
        <is>
          <t>Trikona</t>
        </is>
      </c>
      <c r="E44" s="13" t="inlineStr">
        <is>
          <t>Panapara</t>
        </is>
      </c>
      <c r="F44" s="13" t="inlineStr">
        <is>
          <t>Apoklima</t>
        </is>
      </c>
      <c r="G44" s="13" t="inlineStr">
        <is>
          <t>Upachaya</t>
        </is>
      </c>
      <c r="H44" s="13" t="inlineStr">
        <is>
          <t>Apachaya</t>
        </is>
      </c>
      <c r="I44" s="13" t="inlineStr">
        <is>
          <t>Maraka</t>
        </is>
      </c>
      <c r="J44" s="13" t="inlineStr">
        <is>
          <t>Dusthana</t>
        </is>
      </c>
      <c r="K44" s="13" t="inlineStr">
        <is>
          <t>Badhaka</t>
        </is>
      </c>
      <c r="L44" s="13" t="inlineStr">
        <is>
          <t>Trishadaya</t>
        </is>
      </c>
      <c r="M44" s="13" t="inlineStr">
        <is>
          <t>Classes</t>
        </is>
      </c>
    </row>
    <row r="45">
      <c r="A45" t="n">
        <v>1</v>
      </c>
      <c r="B45">
        <f>INDEX(Ref_Calc!$B$3:$B$14,MOD(Chart!$D$3+A45-1,12)+1)</f>
        <v/>
      </c>
      <c r="C45">
        <f>IF(OR($A45=1,$A45=4,$A45=7,$A45=10),1,0)</f>
        <v/>
      </c>
      <c r="D45">
        <f>IF(OR($A45=1,$A45=5,$A45=9),1,0)</f>
        <v/>
      </c>
      <c r="E45">
        <f>IF(OR($A45=2,$A45=5,$A45=8,$A45=11),1,0)</f>
        <v/>
      </c>
      <c r="F45">
        <f>IF(OR($A45=3,$A45=6,$A45=9,$A45=12),1,0)</f>
        <v/>
      </c>
      <c r="G45">
        <f>IF(OR($A45=3,$A45=6,$A45=10,$A45=11),1,0)</f>
        <v/>
      </c>
      <c r="H45">
        <f>IF(OR($A45=1,$A45=2,$A45=4,$A45=7,$A45=8),1,0)</f>
        <v/>
      </c>
      <c r="I45">
        <f>IF(OR($A45=2,$A45=7),1,0)</f>
        <v/>
      </c>
      <c r="J45">
        <f>IF(OR($A45=6,$A45=8,$A45=12),1,0)</f>
        <v/>
      </c>
      <c r="K45">
        <f>IF($A45=$C$40,1,0)</f>
        <v/>
      </c>
      <c r="L45">
        <f>IF(OR($A45=3,$A45=6,$A45=11),1,0)</f>
        <v/>
      </c>
      <c r="M45">
        <f>MID(IF(C45=1,", "&amp;C$44,"")&amp;IF(D45=1,", "&amp;D$44,"")&amp;IF(E45=1,", "&amp;E$44,"")&amp;IF(F45=1,", "&amp;F$44,"")&amp;IF(G45=1,", "&amp;G$44,"")&amp;IF(H45=1,", "&amp;H$44,"")&amp;IF(I45=1,", "&amp;I$44,"")&amp;IF(J45=1,", "&amp;J$44,"")&amp;IF(K45=1,", "&amp;K$44,"")&amp;IF(L45=1,", "&amp;L$44,""),3,300)</f>
        <v/>
      </c>
    </row>
    <row r="46">
      <c r="A46" t="n">
        <v>2</v>
      </c>
      <c r="B46">
        <f>INDEX(Ref_Calc!$B$3:$B$14,MOD(Chart!$D$3+A46-1,12)+1)</f>
        <v/>
      </c>
      <c r="C46">
        <f>IF(OR($A46=1,$A46=4,$A46=7,$A46=10),1,0)</f>
        <v/>
      </c>
      <c r="D46">
        <f>IF(OR($A46=1,$A46=5,$A46=9),1,0)</f>
        <v/>
      </c>
      <c r="E46">
        <f>IF(OR($A46=2,$A46=5,$A46=8,$A46=11),1,0)</f>
        <v/>
      </c>
      <c r="F46">
        <f>IF(OR($A46=3,$A46=6,$A46=9,$A46=12),1,0)</f>
        <v/>
      </c>
      <c r="G46">
        <f>IF(OR($A46=3,$A46=6,$A46=10,$A46=11),1,0)</f>
        <v/>
      </c>
      <c r="H46">
        <f>IF(OR($A46=1,$A46=2,$A46=4,$A46=7,$A46=8),1,0)</f>
        <v/>
      </c>
      <c r="I46">
        <f>IF(OR($A46=2,$A46=7),1,0)</f>
        <v/>
      </c>
      <c r="J46">
        <f>IF(OR($A46=6,$A46=8,$A46=12),1,0)</f>
        <v/>
      </c>
      <c r="K46">
        <f>IF($A46=$C$40,1,0)</f>
        <v/>
      </c>
      <c r="L46">
        <f>IF(OR($A46=3,$A46=6,$A46=11),1,0)</f>
        <v/>
      </c>
      <c r="M46">
        <f>MID(IF(C46=1,", "&amp;C$44,"")&amp;IF(D46=1,", "&amp;D$44,"")&amp;IF(E46=1,", "&amp;E$44,"")&amp;IF(F46=1,", "&amp;F$44,"")&amp;IF(G46=1,", "&amp;G$44,"")&amp;IF(H46=1,", "&amp;H$44,"")&amp;IF(I46=1,", "&amp;I$44,"")&amp;IF(J46=1,", "&amp;J$44,"")&amp;IF(K46=1,", "&amp;K$44,"")&amp;IF(L46=1,", "&amp;L$44,""),3,300)</f>
        <v/>
      </c>
    </row>
    <row r="47">
      <c r="A47" t="n">
        <v>3</v>
      </c>
      <c r="B47">
        <f>INDEX(Ref_Calc!$B$3:$B$14,MOD(Chart!$D$3+A47-1,12)+1)</f>
        <v/>
      </c>
      <c r="C47">
        <f>IF(OR($A47=1,$A47=4,$A47=7,$A47=10),1,0)</f>
        <v/>
      </c>
      <c r="D47">
        <f>IF(OR($A47=1,$A47=5,$A47=9),1,0)</f>
        <v/>
      </c>
      <c r="E47">
        <f>IF(OR($A47=2,$A47=5,$A47=8,$A47=11),1,0)</f>
        <v/>
      </c>
      <c r="F47">
        <f>IF(OR($A47=3,$A47=6,$A47=9,$A47=12),1,0)</f>
        <v/>
      </c>
      <c r="G47">
        <f>IF(OR($A47=3,$A47=6,$A47=10,$A47=11),1,0)</f>
        <v/>
      </c>
      <c r="H47">
        <f>IF(OR($A47=1,$A47=2,$A47=4,$A47=7,$A47=8),1,0)</f>
        <v/>
      </c>
      <c r="I47">
        <f>IF(OR($A47=2,$A47=7),1,0)</f>
        <v/>
      </c>
      <c r="J47">
        <f>IF(OR($A47=6,$A47=8,$A47=12),1,0)</f>
        <v/>
      </c>
      <c r="K47">
        <f>IF($A47=$C$40,1,0)</f>
        <v/>
      </c>
      <c r="L47">
        <f>IF(OR($A47=3,$A47=6,$A47=11),1,0)</f>
        <v/>
      </c>
      <c r="M47">
        <f>MID(IF(C47=1,", "&amp;C$44,"")&amp;IF(D47=1,", "&amp;D$44,"")&amp;IF(E47=1,", "&amp;E$44,"")&amp;IF(F47=1,", "&amp;F$44,"")&amp;IF(G47=1,", "&amp;G$44,"")&amp;IF(H47=1,", "&amp;H$44,"")&amp;IF(I47=1,", "&amp;I$44,"")&amp;IF(J47=1,", "&amp;J$44,"")&amp;IF(K47=1,", "&amp;K$44,"")&amp;IF(L47=1,", "&amp;L$44,""),3,300)</f>
        <v/>
      </c>
    </row>
    <row r="48">
      <c r="A48" t="n">
        <v>4</v>
      </c>
      <c r="B48">
        <f>INDEX(Ref_Calc!$B$3:$B$14,MOD(Chart!$D$3+A48-1,12)+1)</f>
        <v/>
      </c>
      <c r="C48">
        <f>IF(OR($A48=1,$A48=4,$A48=7,$A48=10),1,0)</f>
        <v/>
      </c>
      <c r="D48">
        <f>IF(OR($A48=1,$A48=5,$A48=9),1,0)</f>
        <v/>
      </c>
      <c r="E48">
        <f>IF(OR($A48=2,$A48=5,$A48=8,$A48=11),1,0)</f>
        <v/>
      </c>
      <c r="F48">
        <f>IF(OR($A48=3,$A48=6,$A48=9,$A48=12),1,0)</f>
        <v/>
      </c>
      <c r="G48">
        <f>IF(OR($A48=3,$A48=6,$A48=10,$A48=11),1,0)</f>
        <v/>
      </c>
      <c r="H48">
        <f>IF(OR($A48=1,$A48=2,$A48=4,$A48=7,$A48=8),1,0)</f>
        <v/>
      </c>
      <c r="I48">
        <f>IF(OR($A48=2,$A48=7),1,0)</f>
        <v/>
      </c>
      <c r="J48">
        <f>IF(OR($A48=6,$A48=8,$A48=12),1,0)</f>
        <v/>
      </c>
      <c r="K48">
        <f>IF($A48=$C$40,1,0)</f>
        <v/>
      </c>
      <c r="L48">
        <f>IF(OR($A48=3,$A48=6,$A48=11),1,0)</f>
        <v/>
      </c>
      <c r="M48">
        <f>MID(IF(C48=1,", "&amp;C$44,"")&amp;IF(D48=1,", "&amp;D$44,"")&amp;IF(E48=1,", "&amp;E$44,"")&amp;IF(F48=1,", "&amp;F$44,"")&amp;IF(G48=1,", "&amp;G$44,"")&amp;IF(H48=1,", "&amp;H$44,"")&amp;IF(I48=1,", "&amp;I$44,"")&amp;IF(J48=1,", "&amp;J$44,"")&amp;IF(K48=1,", "&amp;K$44,"")&amp;IF(L48=1,", "&amp;L$44,""),3,300)</f>
        <v/>
      </c>
    </row>
    <row r="49">
      <c r="A49" t="n">
        <v>5</v>
      </c>
      <c r="B49">
        <f>INDEX(Ref_Calc!$B$3:$B$14,MOD(Chart!$D$3+A49-1,12)+1)</f>
        <v/>
      </c>
      <c r="C49">
        <f>IF(OR($A49=1,$A49=4,$A49=7,$A49=10),1,0)</f>
        <v/>
      </c>
      <c r="D49">
        <f>IF(OR($A49=1,$A49=5,$A49=9),1,0)</f>
        <v/>
      </c>
      <c r="E49">
        <f>IF(OR($A49=2,$A49=5,$A49=8,$A49=11),1,0)</f>
        <v/>
      </c>
      <c r="F49">
        <f>IF(OR($A49=3,$A49=6,$A49=9,$A49=12),1,0)</f>
        <v/>
      </c>
      <c r="G49">
        <f>IF(OR($A49=3,$A49=6,$A49=10,$A49=11),1,0)</f>
        <v/>
      </c>
      <c r="H49">
        <f>IF(OR($A49=1,$A49=2,$A49=4,$A49=7,$A49=8),1,0)</f>
        <v/>
      </c>
      <c r="I49">
        <f>IF(OR($A49=2,$A49=7),1,0)</f>
        <v/>
      </c>
      <c r="J49">
        <f>IF(OR($A49=6,$A49=8,$A49=12),1,0)</f>
        <v/>
      </c>
      <c r="K49">
        <f>IF($A49=$C$40,1,0)</f>
        <v/>
      </c>
      <c r="L49">
        <f>IF(OR($A49=3,$A49=6,$A49=11),1,0)</f>
        <v/>
      </c>
      <c r="M49">
        <f>MID(IF(C49=1,", "&amp;C$44,"")&amp;IF(D49=1,", "&amp;D$44,"")&amp;IF(E49=1,", "&amp;E$44,"")&amp;IF(F49=1,", "&amp;F$44,"")&amp;IF(G49=1,", "&amp;G$44,"")&amp;IF(H49=1,", "&amp;H$44,"")&amp;IF(I49=1,", "&amp;I$44,"")&amp;IF(J49=1,", "&amp;J$44,"")&amp;IF(K49=1,", "&amp;K$44,"")&amp;IF(L49=1,", "&amp;L$44,""),3,300)</f>
        <v/>
      </c>
    </row>
    <row r="50">
      <c r="A50" t="n">
        <v>6</v>
      </c>
      <c r="B50">
        <f>INDEX(Ref_Calc!$B$3:$B$14,MOD(Chart!$D$3+A50-1,12)+1)</f>
        <v/>
      </c>
      <c r="C50">
        <f>IF(OR($A50=1,$A50=4,$A50=7,$A50=10),1,0)</f>
        <v/>
      </c>
      <c r="D50">
        <f>IF(OR($A50=1,$A50=5,$A50=9),1,0)</f>
        <v/>
      </c>
      <c r="E50">
        <f>IF(OR($A50=2,$A50=5,$A50=8,$A50=11),1,0)</f>
        <v/>
      </c>
      <c r="F50">
        <f>IF(OR($A50=3,$A50=6,$A50=9,$A50=12),1,0)</f>
        <v/>
      </c>
      <c r="G50">
        <f>IF(OR($A50=3,$A50=6,$A50=10,$A50=11),1,0)</f>
        <v/>
      </c>
      <c r="H50">
        <f>IF(OR($A50=1,$A50=2,$A50=4,$A50=7,$A50=8),1,0)</f>
        <v/>
      </c>
      <c r="I50">
        <f>IF(OR($A50=2,$A50=7),1,0)</f>
        <v/>
      </c>
      <c r="J50">
        <f>IF(OR($A50=6,$A50=8,$A50=12),1,0)</f>
        <v/>
      </c>
      <c r="K50">
        <f>IF($A50=$C$40,1,0)</f>
        <v/>
      </c>
      <c r="L50">
        <f>IF(OR($A50=3,$A50=6,$A50=11),1,0)</f>
        <v/>
      </c>
      <c r="M50">
        <f>MID(IF(C50=1,", "&amp;C$44,"")&amp;IF(D50=1,", "&amp;D$44,"")&amp;IF(E50=1,", "&amp;E$44,"")&amp;IF(F50=1,", "&amp;F$44,"")&amp;IF(G50=1,", "&amp;G$44,"")&amp;IF(H50=1,", "&amp;H$44,"")&amp;IF(I50=1,", "&amp;I$44,"")&amp;IF(J50=1,", "&amp;J$44,"")&amp;IF(K50=1,", "&amp;K$44,"")&amp;IF(L50=1,", "&amp;L$44,""),3,300)</f>
        <v/>
      </c>
    </row>
    <row r="51">
      <c r="A51" t="n">
        <v>7</v>
      </c>
      <c r="B51">
        <f>INDEX(Ref_Calc!$B$3:$B$14,MOD(Chart!$D$3+A51-1,12)+1)</f>
        <v/>
      </c>
      <c r="C51">
        <f>IF(OR($A51=1,$A51=4,$A51=7,$A51=10),1,0)</f>
        <v/>
      </c>
      <c r="D51">
        <f>IF(OR($A51=1,$A51=5,$A51=9),1,0)</f>
        <v/>
      </c>
      <c r="E51">
        <f>IF(OR($A51=2,$A51=5,$A51=8,$A51=11),1,0)</f>
        <v/>
      </c>
      <c r="F51">
        <f>IF(OR($A51=3,$A51=6,$A51=9,$A51=12),1,0)</f>
        <v/>
      </c>
      <c r="G51">
        <f>IF(OR($A51=3,$A51=6,$A51=10,$A51=11),1,0)</f>
        <v/>
      </c>
      <c r="H51">
        <f>IF(OR($A51=1,$A51=2,$A51=4,$A51=7,$A51=8),1,0)</f>
        <v/>
      </c>
      <c r="I51">
        <f>IF(OR($A51=2,$A51=7),1,0)</f>
        <v/>
      </c>
      <c r="J51">
        <f>IF(OR($A51=6,$A51=8,$A51=12),1,0)</f>
        <v/>
      </c>
      <c r="K51">
        <f>IF($A51=$C$40,1,0)</f>
        <v/>
      </c>
      <c r="L51">
        <f>IF(OR($A51=3,$A51=6,$A51=11),1,0)</f>
        <v/>
      </c>
      <c r="M51">
        <f>MID(IF(C51=1,", "&amp;C$44,"")&amp;IF(D51=1,", "&amp;D$44,"")&amp;IF(E51=1,", "&amp;E$44,"")&amp;IF(F51=1,", "&amp;F$44,"")&amp;IF(G51=1,", "&amp;G$44,"")&amp;IF(H51=1,", "&amp;H$44,"")&amp;IF(I51=1,", "&amp;I$44,"")&amp;IF(J51=1,", "&amp;J$44,"")&amp;IF(K51=1,", "&amp;K$44,"")&amp;IF(L51=1,", "&amp;L$44,""),3,300)</f>
        <v/>
      </c>
    </row>
    <row r="52">
      <c r="A52" t="n">
        <v>8</v>
      </c>
      <c r="B52">
        <f>INDEX(Ref_Calc!$B$3:$B$14,MOD(Chart!$D$3+A52-1,12)+1)</f>
        <v/>
      </c>
      <c r="C52">
        <f>IF(OR($A52=1,$A52=4,$A52=7,$A52=10),1,0)</f>
        <v/>
      </c>
      <c r="D52">
        <f>IF(OR($A52=1,$A52=5,$A52=9),1,0)</f>
        <v/>
      </c>
      <c r="E52">
        <f>IF(OR($A52=2,$A52=5,$A52=8,$A52=11),1,0)</f>
        <v/>
      </c>
      <c r="F52">
        <f>IF(OR($A52=3,$A52=6,$A52=9,$A52=12),1,0)</f>
        <v/>
      </c>
      <c r="G52">
        <f>IF(OR($A52=3,$A52=6,$A52=10,$A52=11),1,0)</f>
        <v/>
      </c>
      <c r="H52">
        <f>IF(OR($A52=1,$A52=2,$A52=4,$A52=7,$A52=8),1,0)</f>
        <v/>
      </c>
      <c r="I52">
        <f>IF(OR($A52=2,$A52=7),1,0)</f>
        <v/>
      </c>
      <c r="J52">
        <f>IF(OR($A52=6,$A52=8,$A52=12),1,0)</f>
        <v/>
      </c>
      <c r="K52">
        <f>IF($A52=$C$40,1,0)</f>
        <v/>
      </c>
      <c r="L52">
        <f>IF(OR($A52=3,$A52=6,$A52=11),1,0)</f>
        <v/>
      </c>
      <c r="M52">
        <f>MID(IF(C52=1,", "&amp;C$44,"")&amp;IF(D52=1,", "&amp;D$44,"")&amp;IF(E52=1,", "&amp;E$44,"")&amp;IF(F52=1,", "&amp;F$44,"")&amp;IF(G52=1,", "&amp;G$44,"")&amp;IF(H52=1,", "&amp;H$44,"")&amp;IF(I52=1,", "&amp;I$44,"")&amp;IF(J52=1,", "&amp;J$44,"")&amp;IF(K52=1,", "&amp;K$44,"")&amp;IF(L52=1,", "&amp;L$44,""),3,300)</f>
        <v/>
      </c>
    </row>
    <row r="53">
      <c r="A53" t="n">
        <v>9</v>
      </c>
      <c r="B53">
        <f>INDEX(Ref_Calc!$B$3:$B$14,MOD(Chart!$D$3+A53-1,12)+1)</f>
        <v/>
      </c>
      <c r="C53">
        <f>IF(OR($A53=1,$A53=4,$A53=7,$A53=10),1,0)</f>
        <v/>
      </c>
      <c r="D53">
        <f>IF(OR($A53=1,$A53=5,$A53=9),1,0)</f>
        <v/>
      </c>
      <c r="E53">
        <f>IF(OR($A53=2,$A53=5,$A53=8,$A53=11),1,0)</f>
        <v/>
      </c>
      <c r="F53">
        <f>IF(OR($A53=3,$A53=6,$A53=9,$A53=12),1,0)</f>
        <v/>
      </c>
      <c r="G53">
        <f>IF(OR($A53=3,$A53=6,$A53=10,$A53=11),1,0)</f>
        <v/>
      </c>
      <c r="H53">
        <f>IF(OR($A53=1,$A53=2,$A53=4,$A53=7,$A53=8),1,0)</f>
        <v/>
      </c>
      <c r="I53">
        <f>IF(OR($A53=2,$A53=7),1,0)</f>
        <v/>
      </c>
      <c r="J53">
        <f>IF(OR($A53=6,$A53=8,$A53=12),1,0)</f>
        <v/>
      </c>
      <c r="K53">
        <f>IF($A53=$C$40,1,0)</f>
        <v/>
      </c>
      <c r="L53">
        <f>IF(OR($A53=3,$A53=6,$A53=11),1,0)</f>
        <v/>
      </c>
      <c r="M53">
        <f>MID(IF(C53=1,", "&amp;C$44,"")&amp;IF(D53=1,", "&amp;D$44,"")&amp;IF(E53=1,", "&amp;E$44,"")&amp;IF(F53=1,", "&amp;F$44,"")&amp;IF(G53=1,", "&amp;G$44,"")&amp;IF(H53=1,", "&amp;H$44,"")&amp;IF(I53=1,", "&amp;I$44,"")&amp;IF(J53=1,", "&amp;J$44,"")&amp;IF(K53=1,", "&amp;K$44,"")&amp;IF(L53=1,", "&amp;L$44,""),3,300)</f>
        <v/>
      </c>
    </row>
    <row r="54">
      <c r="A54" t="n">
        <v>10</v>
      </c>
      <c r="B54">
        <f>INDEX(Ref_Calc!$B$3:$B$14,MOD(Chart!$D$3+A54-1,12)+1)</f>
        <v/>
      </c>
      <c r="C54">
        <f>IF(OR($A54=1,$A54=4,$A54=7,$A54=10),1,0)</f>
        <v/>
      </c>
      <c r="D54">
        <f>IF(OR($A54=1,$A54=5,$A54=9),1,0)</f>
        <v/>
      </c>
      <c r="E54">
        <f>IF(OR($A54=2,$A54=5,$A54=8,$A54=11),1,0)</f>
        <v/>
      </c>
      <c r="F54">
        <f>IF(OR($A54=3,$A54=6,$A54=9,$A54=12),1,0)</f>
        <v/>
      </c>
      <c r="G54">
        <f>IF(OR($A54=3,$A54=6,$A54=10,$A54=11),1,0)</f>
        <v/>
      </c>
      <c r="H54">
        <f>IF(OR($A54=1,$A54=2,$A54=4,$A54=7,$A54=8),1,0)</f>
        <v/>
      </c>
      <c r="I54">
        <f>IF(OR($A54=2,$A54=7),1,0)</f>
        <v/>
      </c>
      <c r="J54">
        <f>IF(OR($A54=6,$A54=8,$A54=12),1,0)</f>
        <v/>
      </c>
      <c r="K54">
        <f>IF($A54=$C$40,1,0)</f>
        <v/>
      </c>
      <c r="L54">
        <f>IF(OR($A54=3,$A54=6,$A54=11),1,0)</f>
        <v/>
      </c>
      <c r="M54">
        <f>MID(IF(C54=1,", "&amp;C$44,"")&amp;IF(D54=1,", "&amp;D$44,"")&amp;IF(E54=1,", "&amp;E$44,"")&amp;IF(F54=1,", "&amp;F$44,"")&amp;IF(G54=1,", "&amp;G$44,"")&amp;IF(H54=1,", "&amp;H$44,"")&amp;IF(I54=1,", "&amp;I$44,"")&amp;IF(J54=1,", "&amp;J$44,"")&amp;IF(K54=1,", "&amp;K$44,"")&amp;IF(L54=1,", "&amp;L$44,""),3,300)</f>
        <v/>
      </c>
    </row>
    <row r="55">
      <c r="A55" t="n">
        <v>11</v>
      </c>
      <c r="B55">
        <f>INDEX(Ref_Calc!$B$3:$B$14,MOD(Chart!$D$3+A55-1,12)+1)</f>
        <v/>
      </c>
      <c r="C55">
        <f>IF(OR($A55=1,$A55=4,$A55=7,$A55=10),1,0)</f>
        <v/>
      </c>
      <c r="D55">
        <f>IF(OR($A55=1,$A55=5,$A55=9),1,0)</f>
        <v/>
      </c>
      <c r="E55">
        <f>IF(OR($A55=2,$A55=5,$A55=8,$A55=11),1,0)</f>
        <v/>
      </c>
      <c r="F55">
        <f>IF(OR($A55=3,$A55=6,$A55=9,$A55=12),1,0)</f>
        <v/>
      </c>
      <c r="G55">
        <f>IF(OR($A55=3,$A55=6,$A55=10,$A55=11),1,0)</f>
        <v/>
      </c>
      <c r="H55">
        <f>IF(OR($A55=1,$A55=2,$A55=4,$A55=7,$A55=8),1,0)</f>
        <v/>
      </c>
      <c r="I55">
        <f>IF(OR($A55=2,$A55=7),1,0)</f>
        <v/>
      </c>
      <c r="J55">
        <f>IF(OR($A55=6,$A55=8,$A55=12),1,0)</f>
        <v/>
      </c>
      <c r="K55">
        <f>IF($A55=$C$40,1,0)</f>
        <v/>
      </c>
      <c r="L55">
        <f>IF(OR($A55=3,$A55=6,$A55=11),1,0)</f>
        <v/>
      </c>
      <c r="M55">
        <f>MID(IF(C55=1,", "&amp;C$44,"")&amp;IF(D55=1,", "&amp;D$44,"")&amp;IF(E55=1,", "&amp;E$44,"")&amp;IF(F55=1,", "&amp;F$44,"")&amp;IF(G55=1,", "&amp;G$44,"")&amp;IF(H55=1,", "&amp;H$44,"")&amp;IF(I55=1,", "&amp;I$44,"")&amp;IF(J55=1,", "&amp;J$44,"")&amp;IF(K55=1,", "&amp;K$44,"")&amp;IF(L55=1,", "&amp;L$44,""),3,300)</f>
        <v/>
      </c>
    </row>
    <row r="56">
      <c r="A56" t="n">
        <v>12</v>
      </c>
      <c r="B56">
        <f>INDEX(Ref_Calc!$B$3:$B$14,MOD(Chart!$D$3+A56-1,12)+1)</f>
        <v/>
      </c>
      <c r="C56">
        <f>IF(OR($A56=1,$A56=4,$A56=7,$A56=10),1,0)</f>
        <v/>
      </c>
      <c r="D56">
        <f>IF(OR($A56=1,$A56=5,$A56=9),1,0)</f>
        <v/>
      </c>
      <c r="E56">
        <f>IF(OR($A56=2,$A56=5,$A56=8,$A56=11),1,0)</f>
        <v/>
      </c>
      <c r="F56">
        <f>IF(OR($A56=3,$A56=6,$A56=9,$A56=12),1,0)</f>
        <v/>
      </c>
      <c r="G56">
        <f>IF(OR($A56=3,$A56=6,$A56=10,$A56=11),1,0)</f>
        <v/>
      </c>
      <c r="H56">
        <f>IF(OR($A56=1,$A56=2,$A56=4,$A56=7,$A56=8),1,0)</f>
        <v/>
      </c>
      <c r="I56">
        <f>IF(OR($A56=2,$A56=7),1,0)</f>
        <v/>
      </c>
      <c r="J56">
        <f>IF(OR($A56=6,$A56=8,$A56=12),1,0)</f>
        <v/>
      </c>
      <c r="K56">
        <f>IF($A56=$C$40,1,0)</f>
        <v/>
      </c>
      <c r="L56">
        <f>IF(OR($A56=3,$A56=6,$A56=11),1,0)</f>
        <v/>
      </c>
      <c r="M56">
        <f>MID(IF(C56=1,", "&amp;C$44,"")&amp;IF(D56=1,", "&amp;D$44,"")&amp;IF(E56=1,", "&amp;E$44,"")&amp;IF(F56=1,", "&amp;F$44,"")&amp;IF(G56=1,", "&amp;G$44,"")&amp;IF(H56=1,", "&amp;H$44,"")&amp;IF(I56=1,", "&amp;I$44,"")&amp;IF(J56=1,", "&amp;J$44,"")&amp;IF(K56=1,", "&amp;K$44,"")&amp;IF(L56=1,", "&amp;L$44,""),3,300)</f>
        <v/>
      </c>
    </row>
    <row r="59">
      <c r="A59" s="15" t="inlineStr">
        <is>
          <t>Lord of each house</t>
        </is>
      </c>
    </row>
    <row r="60">
      <c r="A60" s="13" t="inlineStr">
        <is>
          <t>House</t>
        </is>
      </c>
      <c r="B60" s="13" t="inlineStr">
        <is>
          <t>Rāśi</t>
        </is>
      </c>
      <c r="C60" s="13" t="inlineStr">
        <is>
          <t>Lord</t>
        </is>
      </c>
    </row>
    <row r="61">
      <c r="A61" t="n">
        <v>1</v>
      </c>
      <c r="B61">
        <f>INDEX(Ref_Calc!$B$3:$B$14,MOD(Chart!$D$3+A61-1,12)+1)</f>
        <v/>
      </c>
      <c r="C61">
        <f>INDEX(Ref_Calc!$D$3:$D$14,MOD(Chart!$D$3+A61-1,12)+1)</f>
        <v/>
      </c>
    </row>
    <row r="62">
      <c r="A62" t="n">
        <v>2</v>
      </c>
      <c r="B62">
        <f>INDEX(Ref_Calc!$B$3:$B$14,MOD(Chart!$D$3+A62-1,12)+1)</f>
        <v/>
      </c>
      <c r="C62">
        <f>INDEX(Ref_Calc!$D$3:$D$14,MOD(Chart!$D$3+A62-1,12)+1)</f>
        <v/>
      </c>
    </row>
    <row r="63">
      <c r="A63" t="n">
        <v>3</v>
      </c>
      <c r="B63">
        <f>INDEX(Ref_Calc!$B$3:$B$14,MOD(Chart!$D$3+A63-1,12)+1)</f>
        <v/>
      </c>
      <c r="C63">
        <f>INDEX(Ref_Calc!$D$3:$D$14,MOD(Chart!$D$3+A63-1,12)+1)</f>
        <v/>
      </c>
    </row>
    <row r="64">
      <c r="A64" t="n">
        <v>4</v>
      </c>
      <c r="B64">
        <f>INDEX(Ref_Calc!$B$3:$B$14,MOD(Chart!$D$3+A64-1,12)+1)</f>
        <v/>
      </c>
      <c r="C64">
        <f>INDEX(Ref_Calc!$D$3:$D$14,MOD(Chart!$D$3+A64-1,12)+1)</f>
        <v/>
      </c>
    </row>
    <row r="65">
      <c r="A65" t="n">
        <v>5</v>
      </c>
      <c r="B65">
        <f>INDEX(Ref_Calc!$B$3:$B$14,MOD(Chart!$D$3+A65-1,12)+1)</f>
        <v/>
      </c>
      <c r="C65">
        <f>INDEX(Ref_Calc!$D$3:$D$14,MOD(Chart!$D$3+A65-1,12)+1)</f>
        <v/>
      </c>
    </row>
    <row r="66">
      <c r="A66" t="n">
        <v>6</v>
      </c>
      <c r="B66">
        <f>INDEX(Ref_Calc!$B$3:$B$14,MOD(Chart!$D$3+A66-1,12)+1)</f>
        <v/>
      </c>
      <c r="C66">
        <f>INDEX(Ref_Calc!$D$3:$D$14,MOD(Chart!$D$3+A66-1,12)+1)</f>
        <v/>
      </c>
    </row>
    <row r="67">
      <c r="A67" t="n">
        <v>7</v>
      </c>
      <c r="B67">
        <f>INDEX(Ref_Calc!$B$3:$B$14,MOD(Chart!$D$3+A67-1,12)+1)</f>
        <v/>
      </c>
      <c r="C67">
        <f>INDEX(Ref_Calc!$D$3:$D$14,MOD(Chart!$D$3+A67-1,12)+1)</f>
        <v/>
      </c>
    </row>
    <row r="68">
      <c r="A68" t="n">
        <v>8</v>
      </c>
      <c r="B68">
        <f>INDEX(Ref_Calc!$B$3:$B$14,MOD(Chart!$D$3+A68-1,12)+1)</f>
        <v/>
      </c>
      <c r="C68">
        <f>INDEX(Ref_Calc!$D$3:$D$14,MOD(Chart!$D$3+A68-1,12)+1)</f>
        <v/>
      </c>
    </row>
    <row r="69">
      <c r="A69" t="n">
        <v>9</v>
      </c>
      <c r="B69">
        <f>INDEX(Ref_Calc!$B$3:$B$14,MOD(Chart!$D$3+A69-1,12)+1)</f>
        <v/>
      </c>
      <c r="C69">
        <f>INDEX(Ref_Calc!$D$3:$D$14,MOD(Chart!$D$3+A69-1,12)+1)</f>
        <v/>
      </c>
    </row>
    <row r="70">
      <c r="A70" t="n">
        <v>10</v>
      </c>
      <c r="B70">
        <f>INDEX(Ref_Calc!$B$3:$B$14,MOD(Chart!$D$3+A70-1,12)+1)</f>
        <v/>
      </c>
      <c r="C70">
        <f>INDEX(Ref_Calc!$D$3:$D$14,MOD(Chart!$D$3+A70-1,12)+1)</f>
        <v/>
      </c>
    </row>
    <row r="71">
      <c r="A71" t="n">
        <v>11</v>
      </c>
      <c r="B71">
        <f>INDEX(Ref_Calc!$B$3:$B$14,MOD(Chart!$D$3+A71-1,12)+1)</f>
        <v/>
      </c>
      <c r="C71">
        <f>INDEX(Ref_Calc!$D$3:$D$14,MOD(Chart!$D$3+A71-1,12)+1)</f>
        <v/>
      </c>
    </row>
    <row r="72">
      <c r="A72" t="n">
        <v>12</v>
      </c>
      <c r="B72">
        <f>INDEX(Ref_Calc!$B$3:$B$14,MOD(Chart!$D$3+A72-1,12)+1)</f>
        <v/>
      </c>
      <c r="C72">
        <f>INDEX(Ref_Calc!$D$3:$D$14,MOD(Chart!$D$3+A72-1,12)+1)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60" customWidth="1" min="8" max="8"/>
  </cols>
  <sheetData>
    <row r="1">
      <c r="A1" s="15" t="inlineStr">
        <is>
          <t>Roles of the grahas for the daśā linking (1 = holds the role); Rahu and Ketu can only occupy</t>
        </is>
      </c>
    </row>
    <row r="2">
      <c r="A2" s="13" t="inlineStr">
        <is>
          <t>Graha</t>
        </is>
      </c>
      <c r="B2" s="13" t="inlineStr">
        <is>
          <t>Maraka lord</t>
        </is>
      </c>
      <c r="C2" s="13" t="inlineStr">
        <is>
          <t>Maraka occupant</t>
        </is>
      </c>
      <c r="D2" s="13" t="inlineStr">
        <is>
          <t>Badhakadhipati</t>
        </is>
      </c>
      <c r="E2" s="13" t="inlineStr">
        <is>
          <t>Badhaka occupant</t>
        </is>
      </c>
      <c r="F2" s="13" t="inlineStr">
        <is>
          <t>Dusthana lord</t>
        </is>
      </c>
      <c r="G2" s="13" t="inlineStr">
        <is>
          <t>Trishadaya lord</t>
        </is>
      </c>
      <c r="H2" s="13" t="inlineStr">
        <is>
          <t>Roles</t>
        </is>
      </c>
    </row>
    <row r="3">
      <c r="A3" t="inlineStr">
        <is>
          <t>Sun</t>
        </is>
      </c>
      <c r="B3">
        <f>IF(OR(Classes_Calc!$C$62=$A3,Classes_Calc!$C$67=$A3),1,0)</f>
        <v/>
      </c>
      <c r="C3">
        <f>IF(OR(Chart!$E$5=2,Chart!$E$5=7),1,0)</f>
        <v/>
      </c>
      <c r="D3">
        <f>IF(Classes_Calc!$E$40=$A3,1,0)</f>
        <v/>
      </c>
      <c r="E3">
        <f>IF(Chart!$E$5=Classes_Calc!$C$40,1,0)</f>
        <v/>
      </c>
      <c r="F3">
        <f>IF(OR(Classes_Calc!$C$66=$A3,Classes_Calc!$C$68=$A3,Classes_Calc!$C$72=$A3),1,0)</f>
        <v/>
      </c>
      <c r="G3">
        <f>IF(OR(Classes_Calc!$C$63=$A3,Classes_Calc!$C$66=$A3,Classes_Calc!$C$71=$A3),1,0)</f>
        <v/>
      </c>
      <c r="H3">
        <f>MID(IF(B3=1,", "&amp;B$2,"")&amp;IF(C3=1,", "&amp;C$2,"")&amp;IF(D3=1,", "&amp;D$2,"")&amp;IF(E3=1,", "&amp;E$2,"")&amp;IF(F3=1,", "&amp;F$2,"")&amp;IF(G3=1,", "&amp;G$2,""),3,300)</f>
        <v/>
      </c>
    </row>
    <row r="4">
      <c r="A4" t="inlineStr">
        <is>
          <t>Moon</t>
        </is>
      </c>
      <c r="B4">
        <f>IF(OR(Classes_Calc!$C$62=$A4,Classes_Calc!$C$67=$A4),1,0)</f>
        <v/>
      </c>
      <c r="C4">
        <f>IF(OR(Chart!$E$6=2,Chart!$E$6=7),1,0)</f>
        <v/>
      </c>
      <c r="D4">
        <f>IF(Classes_Calc!$E$40=$A4,1,0)</f>
        <v/>
      </c>
      <c r="E4">
        <f>IF(Chart!$E$6=Classes_Calc!$C$40,1,0)</f>
        <v/>
      </c>
      <c r="F4">
        <f>IF(OR(Classes_Calc!$C$66=$A4,Classes_Calc!$C$68=$A4,Classes_Calc!$C$72=$A4),1,0)</f>
        <v/>
      </c>
      <c r="G4">
        <f>IF(OR(Classes_Calc!$C$63=$A4,Classes_Calc!$C$66=$A4,Classes_Calc!$C$71=$A4),1,0)</f>
        <v/>
      </c>
      <c r="H4">
        <f>MID(IF(B4=1,", "&amp;B$2,"")&amp;IF(C4=1,", "&amp;C$2,"")&amp;IF(D4=1,", "&amp;D$2,"")&amp;IF(E4=1,", "&amp;E$2,"")&amp;IF(F4=1,", "&amp;F$2,"")&amp;IF(G4=1,", "&amp;G$2,""),3,300)</f>
        <v/>
      </c>
    </row>
    <row r="5">
      <c r="A5" t="inlineStr">
        <is>
          <t>Mars</t>
        </is>
      </c>
      <c r="B5">
        <f>IF(OR(Classes_Calc!$C$62=$A5,Classes_Calc!$C$67=$A5),1,0)</f>
        <v/>
      </c>
      <c r="C5">
        <f>IF(OR(Chart!$E$7=2,Chart!$E$7=7),1,0)</f>
        <v/>
      </c>
      <c r="D5">
        <f>IF(Classes_Calc!$E$40=$A5,1,0)</f>
        <v/>
      </c>
      <c r="E5">
        <f>IF(Chart!$E$7=Classes_Calc!$C$40,1,0)</f>
        <v/>
      </c>
      <c r="F5">
        <f>IF(OR(Classes_Calc!$C$66=$A5,Classes_Calc!$C$68=$A5,Classes_Calc!$C$72=$A5),1,0)</f>
        <v/>
      </c>
      <c r="G5">
        <f>IF(OR(Classes_Calc!$C$63=$A5,Classes_Calc!$C$66=$A5,Classes_Calc!$C$71=$A5),1,0)</f>
        <v/>
      </c>
      <c r="H5">
        <f>MID(IF(B5=1,", "&amp;B$2,"")&amp;IF(C5=1,", "&amp;C$2,"")&amp;IF(D5=1,", "&amp;D$2,"")&amp;IF(E5=1,", "&amp;E$2,"")&amp;IF(F5=1,", "&amp;F$2,"")&amp;IF(G5=1,", "&amp;G$2,""),3,300)</f>
        <v/>
      </c>
    </row>
    <row r="6">
      <c r="A6" t="inlineStr">
        <is>
          <t>Mercury</t>
        </is>
      </c>
      <c r="B6">
        <f>IF(OR(Classes_Calc!$C$62=$A6,Classes_Calc!$C$67=$A6),1,0)</f>
        <v/>
      </c>
      <c r="C6">
        <f>IF(OR(Chart!$E$8=2,Chart!$E$8=7),1,0)</f>
        <v/>
      </c>
      <c r="D6">
        <f>IF(Classes_Calc!$E$40=$A6,1,0)</f>
        <v/>
      </c>
      <c r="E6">
        <f>IF(Chart!$E$8=Classes_Calc!$C$40,1,0)</f>
        <v/>
      </c>
      <c r="F6">
        <f>IF(OR(Classes_Calc!$C$66=$A6,Classes_Calc!$C$68=$A6,Classes_Calc!$C$72=$A6),1,0)</f>
        <v/>
      </c>
      <c r="G6">
        <f>IF(OR(Classes_Calc!$C$63=$A6,Classes_Calc!$C$66=$A6,Classes_Calc!$C$71=$A6),1,0)</f>
        <v/>
      </c>
      <c r="H6">
        <f>MID(IF(B6=1,", "&amp;B$2,"")&amp;IF(C6=1,", "&amp;C$2,"")&amp;IF(D6=1,", "&amp;D$2,"")&amp;IF(E6=1,", "&amp;E$2,"")&amp;IF(F6=1,", "&amp;F$2,"")&amp;IF(G6=1,", "&amp;G$2,""),3,300)</f>
        <v/>
      </c>
    </row>
    <row r="7">
      <c r="A7" t="inlineStr">
        <is>
          <t>Jupiter</t>
        </is>
      </c>
      <c r="B7">
        <f>IF(OR(Classes_Calc!$C$62=$A7,Classes_Calc!$C$67=$A7),1,0)</f>
        <v/>
      </c>
      <c r="C7">
        <f>IF(OR(Chart!$E$9=2,Chart!$E$9=7),1,0)</f>
        <v/>
      </c>
      <c r="D7">
        <f>IF(Classes_Calc!$E$40=$A7,1,0)</f>
        <v/>
      </c>
      <c r="E7">
        <f>IF(Chart!$E$9=Classes_Calc!$C$40,1,0)</f>
        <v/>
      </c>
      <c r="F7">
        <f>IF(OR(Classes_Calc!$C$66=$A7,Classes_Calc!$C$68=$A7,Classes_Calc!$C$72=$A7),1,0)</f>
        <v/>
      </c>
      <c r="G7">
        <f>IF(OR(Classes_Calc!$C$63=$A7,Classes_Calc!$C$66=$A7,Classes_Calc!$C$71=$A7),1,0)</f>
        <v/>
      </c>
      <c r="H7">
        <f>MID(IF(B7=1,", "&amp;B$2,"")&amp;IF(C7=1,", "&amp;C$2,"")&amp;IF(D7=1,", "&amp;D$2,"")&amp;IF(E7=1,", "&amp;E$2,"")&amp;IF(F7=1,", "&amp;F$2,"")&amp;IF(G7=1,", "&amp;G$2,""),3,300)</f>
        <v/>
      </c>
    </row>
    <row r="8">
      <c r="A8" t="inlineStr">
        <is>
          <t>Venus</t>
        </is>
      </c>
      <c r="B8">
        <f>IF(OR(Classes_Calc!$C$62=$A8,Classes_Calc!$C$67=$A8),1,0)</f>
        <v/>
      </c>
      <c r="C8">
        <f>IF(OR(Chart!$E$10=2,Chart!$E$10=7),1,0)</f>
        <v/>
      </c>
      <c r="D8">
        <f>IF(Classes_Calc!$E$40=$A8,1,0)</f>
        <v/>
      </c>
      <c r="E8">
        <f>IF(Chart!$E$10=Classes_Calc!$C$40,1,0)</f>
        <v/>
      </c>
      <c r="F8">
        <f>IF(OR(Classes_Calc!$C$66=$A8,Classes_Calc!$C$68=$A8,Classes_Calc!$C$72=$A8),1,0)</f>
        <v/>
      </c>
      <c r="G8">
        <f>IF(OR(Classes_Calc!$C$63=$A8,Classes_Calc!$C$66=$A8,Classes_Calc!$C$71=$A8),1,0)</f>
        <v/>
      </c>
      <c r="H8">
        <f>MID(IF(B8=1,", "&amp;B$2,"")&amp;IF(C8=1,", "&amp;C$2,"")&amp;IF(D8=1,", "&amp;D$2,"")&amp;IF(E8=1,", "&amp;E$2,"")&amp;IF(F8=1,", "&amp;F$2,"")&amp;IF(G8=1,", "&amp;G$2,""),3,300)</f>
        <v/>
      </c>
    </row>
    <row r="9">
      <c r="A9" t="inlineStr">
        <is>
          <t>Saturn</t>
        </is>
      </c>
      <c r="B9">
        <f>IF(OR(Classes_Calc!$C$62=$A9,Classes_Calc!$C$67=$A9),1,0)</f>
        <v/>
      </c>
      <c r="C9">
        <f>IF(OR(Chart!$E$11=2,Chart!$E$11=7),1,0)</f>
        <v/>
      </c>
      <c r="D9">
        <f>IF(Classes_Calc!$E$40=$A9,1,0)</f>
        <v/>
      </c>
      <c r="E9">
        <f>IF(Chart!$E$11=Classes_Calc!$C$40,1,0)</f>
        <v/>
      </c>
      <c r="F9">
        <f>IF(OR(Classes_Calc!$C$66=$A9,Classes_Calc!$C$68=$A9,Classes_Calc!$C$72=$A9),1,0)</f>
        <v/>
      </c>
      <c r="G9">
        <f>IF(OR(Classes_Calc!$C$63=$A9,Classes_Calc!$C$66=$A9,Classes_Calc!$C$71=$A9),1,0)</f>
        <v/>
      </c>
      <c r="H9">
        <f>MID(IF(B9=1,", "&amp;B$2,"")&amp;IF(C9=1,", "&amp;C$2,"")&amp;IF(D9=1,", "&amp;D$2,"")&amp;IF(E9=1,", "&amp;E$2,"")&amp;IF(F9=1,", "&amp;F$2,"")&amp;IF(G9=1,", "&amp;G$2,""),3,300)</f>
        <v/>
      </c>
    </row>
    <row r="10">
      <c r="A10" t="inlineStr">
        <is>
          <t>Rahu</t>
        </is>
      </c>
      <c r="B10">
        <f>IF(OR(Classes_Calc!$C$62=$A10,Classes_Calc!$C$67=$A10),1,0)</f>
        <v/>
      </c>
      <c r="C10">
        <f>IF(OR(Chart!$E$12=2,Chart!$E$12=7),1,0)</f>
        <v/>
      </c>
      <c r="D10">
        <f>IF(Classes_Calc!$E$40=$A10,1,0)</f>
        <v/>
      </c>
      <c r="E10">
        <f>IF(Chart!$E$12=Classes_Calc!$C$40,1,0)</f>
        <v/>
      </c>
      <c r="F10">
        <f>IF(OR(Classes_Calc!$C$66=$A10,Classes_Calc!$C$68=$A10,Classes_Calc!$C$72=$A10),1,0)</f>
        <v/>
      </c>
      <c r="G10">
        <f>IF(OR(Classes_Calc!$C$63=$A10,Classes_Calc!$C$66=$A10,Classes_Calc!$C$71=$A10),1,0)</f>
        <v/>
      </c>
      <c r="H10">
        <f>MID(IF(B10=1,", "&amp;B$2,"")&amp;IF(C10=1,", "&amp;C$2,"")&amp;IF(D10=1,", "&amp;D$2,"")&amp;IF(E10=1,", "&amp;E$2,"")&amp;IF(F10=1,", "&amp;F$2,"")&amp;IF(G10=1,", "&amp;G$2,""),3,300)</f>
        <v/>
      </c>
    </row>
    <row r="11">
      <c r="A11" t="inlineStr">
        <is>
          <t>Ketu</t>
        </is>
      </c>
      <c r="B11">
        <f>IF(OR(Classes_Calc!$C$62=$A11,Classes_Calc!$C$67=$A11),1,0)</f>
        <v/>
      </c>
      <c r="C11">
        <f>IF(OR(Chart!$E$13=2,Chart!$E$13=7),1,0)</f>
        <v/>
      </c>
      <c r="D11">
        <f>IF(Classes_Calc!$E$40=$A11,1,0)</f>
        <v/>
      </c>
      <c r="E11">
        <f>IF(Chart!$E$13=Classes_Calc!$C$40,1,0)</f>
        <v/>
      </c>
      <c r="F11">
        <f>IF(OR(Classes_Calc!$C$66=$A11,Classes_Calc!$C$68=$A11,Classes_Calc!$C$72=$A11),1,0)</f>
        <v/>
      </c>
      <c r="G11">
        <f>IF(OR(Classes_Calc!$C$63=$A11,Classes_Calc!$C$66=$A11,Classes_Calc!$C$71=$A11),1,0)</f>
        <v/>
      </c>
      <c r="H11">
        <f>MID(IF(B11=1,", "&amp;B$2,"")&amp;IF(C11=1,", "&amp;C$2,"")&amp;IF(D11=1,", "&amp;D$2,"")&amp;IF(E11=1,", "&amp;E$2,"")&amp;IF(F11=1,", "&amp;F$2,"")&amp;IF(G11=1,", "&amp;G$2,""),3,300)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4"/>
  <sheetViews>
    <sheetView workbookViewId="0">
      <selection activeCell="A1" sqref="A1"/>
    </sheetView>
  </sheetViews>
  <sheetFormatPr baseColWidth="8" defaultRowHeight="15"/>
  <cols>
    <col width="38" customWidth="1" min="1" max="1"/>
    <col width="18" customWidth="1" min="2" max="2"/>
    <col width="18" customWidth="1" min="3" max="3"/>
    <col width="18" customWidth="1" min="4" max="4"/>
    <col width="18" customWidth="1" min="5" max="5"/>
    <col width="18" customWidth="1" min="6" max="6"/>
    <col width="18" customWidth="1" min="7" max="7"/>
  </cols>
  <sheetData>
    <row r="1">
      <c r="A1" s="15" t="inlineStr">
        <is>
          <t>Vimśottarī daśā from the Moon's birth-star (365.25-day years, as on the page)</t>
        </is>
      </c>
    </row>
    <row r="2">
      <c r="A2" t="inlineStr">
        <is>
          <t>Moon longitude (°)</t>
        </is>
      </c>
      <c r="B2">
        <f>Chart!B15</f>
        <v/>
      </c>
    </row>
    <row r="3">
      <c r="A3" t="inlineStr">
        <is>
          <t>Nakṣatra # (0-26)</t>
        </is>
      </c>
      <c r="B3">
        <f>INT(MOD(B2,360)/(360/27))</f>
        <v/>
      </c>
    </row>
    <row r="4">
      <c r="A4" t="inlineStr">
        <is>
          <t>Nakṣatra lord</t>
        </is>
      </c>
      <c r="B4">
        <f>INDEX(Ref_Calc!$AK$3:$AK$29,B3+1)</f>
        <v/>
      </c>
    </row>
    <row r="5">
      <c r="A5" t="inlineStr">
        <is>
          <t>Part of the nakṣatra already gone</t>
        </is>
      </c>
      <c r="B5">
        <f>(MOD(B2,360)-B3*(360/27))/(360/27)</f>
        <v/>
      </c>
    </row>
    <row r="6">
      <c r="A6" t="inlineStr">
        <is>
          <t>Index of that lord in the daśā order</t>
        </is>
      </c>
      <c r="B6">
        <f>MATCH(B4,Ref_Calc!$AG$3:$AG$11,0)-1</f>
        <v/>
      </c>
    </row>
    <row r="7">
      <c r="A7" t="inlineStr">
        <is>
          <t>Virtual start of the first Mahādaśā</t>
        </is>
      </c>
      <c r="B7" s="16">
        <f>Chart!B18-B5*INDEX(Ref_Calc!$AH$3:$AH$11,B6+1)*365.25</f>
        <v/>
      </c>
    </row>
    <row r="8">
      <c r="A8" t="inlineStr">
        <is>
          <t>Running Mahādaśā</t>
        </is>
      </c>
      <c r="B8">
        <f>INDEX(C24:C104,B10)</f>
        <v/>
      </c>
    </row>
    <row r="9">
      <c r="A9" t="inlineStr">
        <is>
          <t>Running Bhukti</t>
        </is>
      </c>
      <c r="B9">
        <f>INDEX(D24:D104,B10)</f>
        <v/>
      </c>
    </row>
    <row r="10">
      <c r="A10" t="inlineStr">
        <is>
          <t>Row of the running Bhukti (below)</t>
        </is>
      </c>
      <c r="B10">
        <f>IFERROR(MATCH(1,G24:G104,0),1)</f>
        <v/>
      </c>
    </row>
    <row r="12">
      <c r="A12" s="13" t="inlineStr">
        <is>
          <t>#</t>
        </is>
      </c>
      <c r="B12" s="13" t="inlineStr">
        <is>
          <t>Mahādaśā lord</t>
        </is>
      </c>
      <c r="C12" s="13" t="inlineStr">
        <is>
          <t>Years</t>
        </is>
      </c>
      <c r="D12" s="13" t="inlineStr">
        <is>
          <t>Starts</t>
        </is>
      </c>
      <c r="E12" s="13" t="inlineStr">
        <is>
          <t>Ends</t>
        </is>
      </c>
    </row>
    <row r="13">
      <c r="A13" t="n">
        <v>0</v>
      </c>
      <c r="B13">
        <f>INDEX(Ref_Calc!$AG$3:$AG$11,MOD($B$6+A13,9)+1)</f>
        <v/>
      </c>
      <c r="C13">
        <f>INDEX(Ref_Calc!$AH$3:$AH$11,MATCH(B13,Ref_Calc!$AG$3:$AG$11,0))</f>
        <v/>
      </c>
      <c r="D13" s="16">
        <f>$B$7</f>
        <v/>
      </c>
      <c r="E13" s="16">
        <f>D13+C13*365.25</f>
        <v/>
      </c>
    </row>
    <row r="14">
      <c r="A14" t="n">
        <v>1</v>
      </c>
      <c r="B14">
        <f>INDEX(Ref_Calc!$AG$3:$AG$11,MOD($B$6+A14,9)+1)</f>
        <v/>
      </c>
      <c r="C14">
        <f>INDEX(Ref_Calc!$AH$3:$AH$11,MATCH(B14,Ref_Calc!$AG$3:$AG$11,0))</f>
        <v/>
      </c>
      <c r="D14" s="16">
        <f>E13</f>
        <v/>
      </c>
      <c r="E14" s="16">
        <f>D14+C14*365.25</f>
        <v/>
      </c>
    </row>
    <row r="15">
      <c r="A15" t="n">
        <v>2</v>
      </c>
      <c r="B15">
        <f>INDEX(Ref_Calc!$AG$3:$AG$11,MOD($B$6+A15,9)+1)</f>
        <v/>
      </c>
      <c r="C15">
        <f>INDEX(Ref_Calc!$AH$3:$AH$11,MATCH(B15,Ref_Calc!$AG$3:$AG$11,0))</f>
        <v/>
      </c>
      <c r="D15" s="16">
        <f>E14</f>
        <v/>
      </c>
      <c r="E15" s="16">
        <f>D15+C15*365.25</f>
        <v/>
      </c>
    </row>
    <row r="16">
      <c r="A16" t="n">
        <v>3</v>
      </c>
      <c r="B16">
        <f>INDEX(Ref_Calc!$AG$3:$AG$11,MOD($B$6+A16,9)+1)</f>
        <v/>
      </c>
      <c r="C16">
        <f>INDEX(Ref_Calc!$AH$3:$AH$11,MATCH(B16,Ref_Calc!$AG$3:$AG$11,0))</f>
        <v/>
      </c>
      <c r="D16" s="16">
        <f>E15</f>
        <v/>
      </c>
      <c r="E16" s="16">
        <f>D16+C16*365.25</f>
        <v/>
      </c>
    </row>
    <row r="17">
      <c r="A17" t="n">
        <v>4</v>
      </c>
      <c r="B17">
        <f>INDEX(Ref_Calc!$AG$3:$AG$11,MOD($B$6+A17,9)+1)</f>
        <v/>
      </c>
      <c r="C17">
        <f>INDEX(Ref_Calc!$AH$3:$AH$11,MATCH(B17,Ref_Calc!$AG$3:$AG$11,0))</f>
        <v/>
      </c>
      <c r="D17" s="16">
        <f>E16</f>
        <v/>
      </c>
      <c r="E17" s="16">
        <f>D17+C17*365.25</f>
        <v/>
      </c>
    </row>
    <row r="18">
      <c r="A18" t="n">
        <v>5</v>
      </c>
      <c r="B18">
        <f>INDEX(Ref_Calc!$AG$3:$AG$11,MOD($B$6+A18,9)+1)</f>
        <v/>
      </c>
      <c r="C18">
        <f>INDEX(Ref_Calc!$AH$3:$AH$11,MATCH(B18,Ref_Calc!$AG$3:$AG$11,0))</f>
        <v/>
      </c>
      <c r="D18" s="16">
        <f>E17</f>
        <v/>
      </c>
      <c r="E18" s="16">
        <f>D18+C18*365.25</f>
        <v/>
      </c>
    </row>
    <row r="19">
      <c r="A19" t="n">
        <v>6</v>
      </c>
      <c r="B19">
        <f>INDEX(Ref_Calc!$AG$3:$AG$11,MOD($B$6+A19,9)+1)</f>
        <v/>
      </c>
      <c r="C19">
        <f>INDEX(Ref_Calc!$AH$3:$AH$11,MATCH(B19,Ref_Calc!$AG$3:$AG$11,0))</f>
        <v/>
      </c>
      <c r="D19" s="16">
        <f>E18</f>
        <v/>
      </c>
      <c r="E19" s="16">
        <f>D19+C19*365.25</f>
        <v/>
      </c>
    </row>
    <row r="20">
      <c r="A20" t="n">
        <v>7</v>
      </c>
      <c r="B20">
        <f>INDEX(Ref_Calc!$AG$3:$AG$11,MOD($B$6+A20,9)+1)</f>
        <v/>
      </c>
      <c r="C20">
        <f>INDEX(Ref_Calc!$AH$3:$AH$11,MATCH(B20,Ref_Calc!$AG$3:$AG$11,0))</f>
        <v/>
      </c>
      <c r="D20" s="16">
        <f>E19</f>
        <v/>
      </c>
      <c r="E20" s="16">
        <f>D20+C20*365.25</f>
        <v/>
      </c>
    </row>
    <row r="21">
      <c r="A21" t="n">
        <v>8</v>
      </c>
      <c r="B21">
        <f>INDEX(Ref_Calc!$AG$3:$AG$11,MOD($B$6+A21,9)+1)</f>
        <v/>
      </c>
      <c r="C21">
        <f>INDEX(Ref_Calc!$AH$3:$AH$11,MATCH(B21,Ref_Calc!$AG$3:$AG$11,0))</f>
        <v/>
      </c>
      <c r="D21" s="16">
        <f>E20</f>
        <v/>
      </c>
      <c r="E21" s="16">
        <f>D21+C21*365.25</f>
        <v/>
      </c>
    </row>
    <row r="23">
      <c r="A23" s="13" t="inlineStr">
        <is>
          <t>Mahādaśā #</t>
        </is>
      </c>
      <c r="B23" s="13" t="inlineStr">
        <is>
          <t>Bhukti #</t>
        </is>
      </c>
      <c r="C23" s="13" t="inlineStr">
        <is>
          <t>Mahādaśā</t>
        </is>
      </c>
      <c r="D23" s="13" t="inlineStr">
        <is>
          <t>Bhukti</t>
        </is>
      </c>
      <c r="E23" s="13" t="inlineStr">
        <is>
          <t>Starts</t>
        </is>
      </c>
      <c r="F23" s="13" t="inlineStr">
        <is>
          <t>Ends</t>
        </is>
      </c>
      <c r="G23" s="13" t="inlineStr">
        <is>
          <t>Running?</t>
        </is>
      </c>
    </row>
    <row r="24">
      <c r="A24" t="n">
        <v>0</v>
      </c>
      <c r="B24" t="n">
        <v>0</v>
      </c>
      <c r="C24">
        <f>INDEX($B$13:$B$21,A24+1)</f>
        <v/>
      </c>
      <c r="D24">
        <f>INDEX(Ref_Calc!$AG$3:$AG$11,MOD(MATCH(C24,Ref_Calc!$AG$3:$AG$11,0)-1+B24,9)+1)</f>
        <v/>
      </c>
      <c r="E24" s="16">
        <f>INDEX($D$13:$D$21,A24+1)</f>
        <v/>
      </c>
      <c r="F24" s="16">
        <f>E24+INDEX($C$13:$C$21,A24+1)*INDEX(Ref_Calc!$AH$3:$AH$11,MATCH(D24,Ref_Calc!$AG$3:$AG$11,0))/120*365.25</f>
        <v/>
      </c>
      <c r="G24">
        <f>IF(AND(E24&lt;=Chart!B19,Chart!B19&lt;F24),1,0)</f>
        <v/>
      </c>
    </row>
    <row r="25">
      <c r="A25" t="n">
        <v>0</v>
      </c>
      <c r="B25" t="n">
        <v>1</v>
      </c>
      <c r="C25">
        <f>INDEX($B$13:$B$21,A25+1)</f>
        <v/>
      </c>
      <c r="D25">
        <f>INDEX(Ref_Calc!$AG$3:$AG$11,MOD(MATCH(C25,Ref_Calc!$AG$3:$AG$11,0)-1+B25,9)+1)</f>
        <v/>
      </c>
      <c r="E25" s="16">
        <f>F24</f>
        <v/>
      </c>
      <c r="F25" s="16">
        <f>E25+INDEX($C$13:$C$21,A25+1)*INDEX(Ref_Calc!$AH$3:$AH$11,MATCH(D25,Ref_Calc!$AG$3:$AG$11,0))/120*365.25</f>
        <v/>
      </c>
      <c r="G25">
        <f>IF(AND(E25&lt;=Chart!B19,Chart!B19&lt;F25),1,0)</f>
        <v/>
      </c>
    </row>
    <row r="26">
      <c r="A26" t="n">
        <v>0</v>
      </c>
      <c r="B26" t="n">
        <v>2</v>
      </c>
      <c r="C26">
        <f>INDEX($B$13:$B$21,A26+1)</f>
        <v/>
      </c>
      <c r="D26">
        <f>INDEX(Ref_Calc!$AG$3:$AG$11,MOD(MATCH(C26,Ref_Calc!$AG$3:$AG$11,0)-1+B26,9)+1)</f>
        <v/>
      </c>
      <c r="E26" s="16">
        <f>F25</f>
        <v/>
      </c>
      <c r="F26" s="16">
        <f>E26+INDEX($C$13:$C$21,A26+1)*INDEX(Ref_Calc!$AH$3:$AH$11,MATCH(D26,Ref_Calc!$AG$3:$AG$11,0))/120*365.25</f>
        <v/>
      </c>
      <c r="G26">
        <f>IF(AND(E26&lt;=Chart!B19,Chart!B19&lt;F26),1,0)</f>
        <v/>
      </c>
    </row>
    <row r="27">
      <c r="A27" t="n">
        <v>0</v>
      </c>
      <c r="B27" t="n">
        <v>3</v>
      </c>
      <c r="C27">
        <f>INDEX($B$13:$B$21,A27+1)</f>
        <v/>
      </c>
      <c r="D27">
        <f>INDEX(Ref_Calc!$AG$3:$AG$11,MOD(MATCH(C27,Ref_Calc!$AG$3:$AG$11,0)-1+B27,9)+1)</f>
        <v/>
      </c>
      <c r="E27" s="16">
        <f>F26</f>
        <v/>
      </c>
      <c r="F27" s="16">
        <f>E27+INDEX($C$13:$C$21,A27+1)*INDEX(Ref_Calc!$AH$3:$AH$11,MATCH(D27,Ref_Calc!$AG$3:$AG$11,0))/120*365.25</f>
        <v/>
      </c>
      <c r="G27">
        <f>IF(AND(E27&lt;=Chart!B19,Chart!B19&lt;F27),1,0)</f>
        <v/>
      </c>
    </row>
    <row r="28">
      <c r="A28" t="n">
        <v>0</v>
      </c>
      <c r="B28" t="n">
        <v>4</v>
      </c>
      <c r="C28">
        <f>INDEX($B$13:$B$21,A28+1)</f>
        <v/>
      </c>
      <c r="D28">
        <f>INDEX(Ref_Calc!$AG$3:$AG$11,MOD(MATCH(C28,Ref_Calc!$AG$3:$AG$11,0)-1+B28,9)+1)</f>
        <v/>
      </c>
      <c r="E28" s="16">
        <f>F27</f>
        <v/>
      </c>
      <c r="F28" s="16">
        <f>E28+INDEX($C$13:$C$21,A28+1)*INDEX(Ref_Calc!$AH$3:$AH$11,MATCH(D28,Ref_Calc!$AG$3:$AG$11,0))/120*365.25</f>
        <v/>
      </c>
      <c r="G28">
        <f>IF(AND(E28&lt;=Chart!B19,Chart!B19&lt;F28),1,0)</f>
        <v/>
      </c>
    </row>
    <row r="29">
      <c r="A29" t="n">
        <v>0</v>
      </c>
      <c r="B29" t="n">
        <v>5</v>
      </c>
      <c r="C29">
        <f>INDEX($B$13:$B$21,A29+1)</f>
        <v/>
      </c>
      <c r="D29">
        <f>INDEX(Ref_Calc!$AG$3:$AG$11,MOD(MATCH(C29,Ref_Calc!$AG$3:$AG$11,0)-1+B29,9)+1)</f>
        <v/>
      </c>
      <c r="E29" s="16">
        <f>F28</f>
        <v/>
      </c>
      <c r="F29" s="16">
        <f>E29+INDEX($C$13:$C$21,A29+1)*INDEX(Ref_Calc!$AH$3:$AH$11,MATCH(D29,Ref_Calc!$AG$3:$AG$11,0))/120*365.25</f>
        <v/>
      </c>
      <c r="G29">
        <f>IF(AND(E29&lt;=Chart!B19,Chart!B19&lt;F29),1,0)</f>
        <v/>
      </c>
    </row>
    <row r="30">
      <c r="A30" t="n">
        <v>0</v>
      </c>
      <c r="B30" t="n">
        <v>6</v>
      </c>
      <c r="C30">
        <f>INDEX($B$13:$B$21,A30+1)</f>
        <v/>
      </c>
      <c r="D30">
        <f>INDEX(Ref_Calc!$AG$3:$AG$11,MOD(MATCH(C30,Ref_Calc!$AG$3:$AG$11,0)-1+B30,9)+1)</f>
        <v/>
      </c>
      <c r="E30" s="16">
        <f>F29</f>
        <v/>
      </c>
      <c r="F30" s="16">
        <f>E30+INDEX($C$13:$C$21,A30+1)*INDEX(Ref_Calc!$AH$3:$AH$11,MATCH(D30,Ref_Calc!$AG$3:$AG$11,0))/120*365.25</f>
        <v/>
      </c>
      <c r="G30">
        <f>IF(AND(E30&lt;=Chart!B19,Chart!B19&lt;F30),1,0)</f>
        <v/>
      </c>
    </row>
    <row r="31">
      <c r="A31" t="n">
        <v>0</v>
      </c>
      <c r="B31" t="n">
        <v>7</v>
      </c>
      <c r="C31">
        <f>INDEX($B$13:$B$21,A31+1)</f>
        <v/>
      </c>
      <c r="D31">
        <f>INDEX(Ref_Calc!$AG$3:$AG$11,MOD(MATCH(C31,Ref_Calc!$AG$3:$AG$11,0)-1+B31,9)+1)</f>
        <v/>
      </c>
      <c r="E31" s="16">
        <f>F30</f>
        <v/>
      </c>
      <c r="F31" s="16">
        <f>E31+INDEX($C$13:$C$21,A31+1)*INDEX(Ref_Calc!$AH$3:$AH$11,MATCH(D31,Ref_Calc!$AG$3:$AG$11,0))/120*365.25</f>
        <v/>
      </c>
      <c r="G31">
        <f>IF(AND(E31&lt;=Chart!B19,Chart!B19&lt;F31),1,0)</f>
        <v/>
      </c>
    </row>
    <row r="32">
      <c r="A32" t="n">
        <v>0</v>
      </c>
      <c r="B32" t="n">
        <v>8</v>
      </c>
      <c r="C32">
        <f>INDEX($B$13:$B$21,A32+1)</f>
        <v/>
      </c>
      <c r="D32">
        <f>INDEX(Ref_Calc!$AG$3:$AG$11,MOD(MATCH(C32,Ref_Calc!$AG$3:$AG$11,0)-1+B32,9)+1)</f>
        <v/>
      </c>
      <c r="E32" s="16">
        <f>F31</f>
        <v/>
      </c>
      <c r="F32" s="16">
        <f>E32+INDEX($C$13:$C$21,A32+1)*INDEX(Ref_Calc!$AH$3:$AH$11,MATCH(D32,Ref_Calc!$AG$3:$AG$11,0))/120*365.25</f>
        <v/>
      </c>
      <c r="G32">
        <f>IF(AND(E32&lt;=Chart!B19,Chart!B19&lt;F32),1,0)</f>
        <v/>
      </c>
    </row>
    <row r="33">
      <c r="A33" t="n">
        <v>1</v>
      </c>
      <c r="B33" t="n">
        <v>0</v>
      </c>
      <c r="C33">
        <f>INDEX($B$13:$B$21,A33+1)</f>
        <v/>
      </c>
      <c r="D33">
        <f>INDEX(Ref_Calc!$AG$3:$AG$11,MOD(MATCH(C33,Ref_Calc!$AG$3:$AG$11,0)-1+B33,9)+1)</f>
        <v/>
      </c>
      <c r="E33" s="16">
        <f>INDEX($D$13:$D$21,A33+1)</f>
        <v/>
      </c>
      <c r="F33" s="16">
        <f>E33+INDEX($C$13:$C$21,A33+1)*INDEX(Ref_Calc!$AH$3:$AH$11,MATCH(D33,Ref_Calc!$AG$3:$AG$11,0))/120*365.25</f>
        <v/>
      </c>
      <c r="G33">
        <f>IF(AND(E33&lt;=Chart!B19,Chart!B19&lt;F33),1,0)</f>
        <v/>
      </c>
    </row>
    <row r="34">
      <c r="A34" t="n">
        <v>1</v>
      </c>
      <c r="B34" t="n">
        <v>1</v>
      </c>
      <c r="C34">
        <f>INDEX($B$13:$B$21,A34+1)</f>
        <v/>
      </c>
      <c r="D34">
        <f>INDEX(Ref_Calc!$AG$3:$AG$11,MOD(MATCH(C34,Ref_Calc!$AG$3:$AG$11,0)-1+B34,9)+1)</f>
        <v/>
      </c>
      <c r="E34" s="16">
        <f>F33</f>
        <v/>
      </c>
      <c r="F34" s="16">
        <f>E34+INDEX($C$13:$C$21,A34+1)*INDEX(Ref_Calc!$AH$3:$AH$11,MATCH(D34,Ref_Calc!$AG$3:$AG$11,0))/120*365.25</f>
        <v/>
      </c>
      <c r="G34">
        <f>IF(AND(E34&lt;=Chart!B19,Chart!B19&lt;F34),1,0)</f>
        <v/>
      </c>
    </row>
    <row r="35">
      <c r="A35" t="n">
        <v>1</v>
      </c>
      <c r="B35" t="n">
        <v>2</v>
      </c>
      <c r="C35">
        <f>INDEX($B$13:$B$21,A35+1)</f>
        <v/>
      </c>
      <c r="D35">
        <f>INDEX(Ref_Calc!$AG$3:$AG$11,MOD(MATCH(C35,Ref_Calc!$AG$3:$AG$11,0)-1+B35,9)+1)</f>
        <v/>
      </c>
      <c r="E35" s="16">
        <f>F34</f>
        <v/>
      </c>
      <c r="F35" s="16">
        <f>E35+INDEX($C$13:$C$21,A35+1)*INDEX(Ref_Calc!$AH$3:$AH$11,MATCH(D35,Ref_Calc!$AG$3:$AG$11,0))/120*365.25</f>
        <v/>
      </c>
      <c r="G35">
        <f>IF(AND(E35&lt;=Chart!B19,Chart!B19&lt;F35),1,0)</f>
        <v/>
      </c>
    </row>
    <row r="36">
      <c r="A36" t="n">
        <v>1</v>
      </c>
      <c r="B36" t="n">
        <v>3</v>
      </c>
      <c r="C36">
        <f>INDEX($B$13:$B$21,A36+1)</f>
        <v/>
      </c>
      <c r="D36">
        <f>INDEX(Ref_Calc!$AG$3:$AG$11,MOD(MATCH(C36,Ref_Calc!$AG$3:$AG$11,0)-1+B36,9)+1)</f>
        <v/>
      </c>
      <c r="E36" s="16">
        <f>F35</f>
        <v/>
      </c>
      <c r="F36" s="16">
        <f>E36+INDEX($C$13:$C$21,A36+1)*INDEX(Ref_Calc!$AH$3:$AH$11,MATCH(D36,Ref_Calc!$AG$3:$AG$11,0))/120*365.25</f>
        <v/>
      </c>
      <c r="G36">
        <f>IF(AND(E36&lt;=Chart!B19,Chart!B19&lt;F36),1,0)</f>
        <v/>
      </c>
    </row>
    <row r="37">
      <c r="A37" t="n">
        <v>1</v>
      </c>
      <c r="B37" t="n">
        <v>4</v>
      </c>
      <c r="C37">
        <f>INDEX($B$13:$B$21,A37+1)</f>
        <v/>
      </c>
      <c r="D37">
        <f>INDEX(Ref_Calc!$AG$3:$AG$11,MOD(MATCH(C37,Ref_Calc!$AG$3:$AG$11,0)-1+B37,9)+1)</f>
        <v/>
      </c>
      <c r="E37" s="16">
        <f>F36</f>
        <v/>
      </c>
      <c r="F37" s="16">
        <f>E37+INDEX($C$13:$C$21,A37+1)*INDEX(Ref_Calc!$AH$3:$AH$11,MATCH(D37,Ref_Calc!$AG$3:$AG$11,0))/120*365.25</f>
        <v/>
      </c>
      <c r="G37">
        <f>IF(AND(E37&lt;=Chart!B19,Chart!B19&lt;F37),1,0)</f>
        <v/>
      </c>
    </row>
    <row r="38">
      <c r="A38" t="n">
        <v>1</v>
      </c>
      <c r="B38" t="n">
        <v>5</v>
      </c>
      <c r="C38">
        <f>INDEX($B$13:$B$21,A38+1)</f>
        <v/>
      </c>
      <c r="D38">
        <f>INDEX(Ref_Calc!$AG$3:$AG$11,MOD(MATCH(C38,Ref_Calc!$AG$3:$AG$11,0)-1+B38,9)+1)</f>
        <v/>
      </c>
      <c r="E38" s="16">
        <f>F37</f>
        <v/>
      </c>
      <c r="F38" s="16">
        <f>E38+INDEX($C$13:$C$21,A38+1)*INDEX(Ref_Calc!$AH$3:$AH$11,MATCH(D38,Ref_Calc!$AG$3:$AG$11,0))/120*365.25</f>
        <v/>
      </c>
      <c r="G38">
        <f>IF(AND(E38&lt;=Chart!B19,Chart!B19&lt;F38),1,0)</f>
        <v/>
      </c>
    </row>
    <row r="39">
      <c r="A39" t="n">
        <v>1</v>
      </c>
      <c r="B39" t="n">
        <v>6</v>
      </c>
      <c r="C39">
        <f>INDEX($B$13:$B$21,A39+1)</f>
        <v/>
      </c>
      <c r="D39">
        <f>INDEX(Ref_Calc!$AG$3:$AG$11,MOD(MATCH(C39,Ref_Calc!$AG$3:$AG$11,0)-1+B39,9)+1)</f>
        <v/>
      </c>
      <c r="E39" s="16">
        <f>F38</f>
        <v/>
      </c>
      <c r="F39" s="16">
        <f>E39+INDEX($C$13:$C$21,A39+1)*INDEX(Ref_Calc!$AH$3:$AH$11,MATCH(D39,Ref_Calc!$AG$3:$AG$11,0))/120*365.25</f>
        <v/>
      </c>
      <c r="G39">
        <f>IF(AND(E39&lt;=Chart!B19,Chart!B19&lt;F39),1,0)</f>
        <v/>
      </c>
    </row>
    <row r="40">
      <c r="A40" t="n">
        <v>1</v>
      </c>
      <c r="B40" t="n">
        <v>7</v>
      </c>
      <c r="C40">
        <f>INDEX($B$13:$B$21,A40+1)</f>
        <v/>
      </c>
      <c r="D40">
        <f>INDEX(Ref_Calc!$AG$3:$AG$11,MOD(MATCH(C40,Ref_Calc!$AG$3:$AG$11,0)-1+B40,9)+1)</f>
        <v/>
      </c>
      <c r="E40" s="16">
        <f>F39</f>
        <v/>
      </c>
      <c r="F40" s="16">
        <f>E40+INDEX($C$13:$C$21,A40+1)*INDEX(Ref_Calc!$AH$3:$AH$11,MATCH(D40,Ref_Calc!$AG$3:$AG$11,0))/120*365.25</f>
        <v/>
      </c>
      <c r="G40">
        <f>IF(AND(E40&lt;=Chart!B19,Chart!B19&lt;F40),1,0)</f>
        <v/>
      </c>
    </row>
    <row r="41">
      <c r="A41" t="n">
        <v>1</v>
      </c>
      <c r="B41" t="n">
        <v>8</v>
      </c>
      <c r="C41">
        <f>INDEX($B$13:$B$21,A41+1)</f>
        <v/>
      </c>
      <c r="D41">
        <f>INDEX(Ref_Calc!$AG$3:$AG$11,MOD(MATCH(C41,Ref_Calc!$AG$3:$AG$11,0)-1+B41,9)+1)</f>
        <v/>
      </c>
      <c r="E41" s="16">
        <f>F40</f>
        <v/>
      </c>
      <c r="F41" s="16">
        <f>E41+INDEX($C$13:$C$21,A41+1)*INDEX(Ref_Calc!$AH$3:$AH$11,MATCH(D41,Ref_Calc!$AG$3:$AG$11,0))/120*365.25</f>
        <v/>
      </c>
      <c r="G41">
        <f>IF(AND(E41&lt;=Chart!B19,Chart!B19&lt;F41),1,0)</f>
        <v/>
      </c>
    </row>
    <row r="42">
      <c r="A42" t="n">
        <v>2</v>
      </c>
      <c r="B42" t="n">
        <v>0</v>
      </c>
      <c r="C42">
        <f>INDEX($B$13:$B$21,A42+1)</f>
        <v/>
      </c>
      <c r="D42">
        <f>INDEX(Ref_Calc!$AG$3:$AG$11,MOD(MATCH(C42,Ref_Calc!$AG$3:$AG$11,0)-1+B42,9)+1)</f>
        <v/>
      </c>
      <c r="E42" s="16">
        <f>INDEX($D$13:$D$21,A42+1)</f>
        <v/>
      </c>
      <c r="F42" s="16">
        <f>E42+INDEX($C$13:$C$21,A42+1)*INDEX(Ref_Calc!$AH$3:$AH$11,MATCH(D42,Ref_Calc!$AG$3:$AG$11,0))/120*365.25</f>
        <v/>
      </c>
      <c r="G42">
        <f>IF(AND(E42&lt;=Chart!B19,Chart!B19&lt;F42),1,0)</f>
        <v/>
      </c>
    </row>
    <row r="43">
      <c r="A43" t="n">
        <v>2</v>
      </c>
      <c r="B43" t="n">
        <v>1</v>
      </c>
      <c r="C43">
        <f>INDEX($B$13:$B$21,A43+1)</f>
        <v/>
      </c>
      <c r="D43">
        <f>INDEX(Ref_Calc!$AG$3:$AG$11,MOD(MATCH(C43,Ref_Calc!$AG$3:$AG$11,0)-1+B43,9)+1)</f>
        <v/>
      </c>
      <c r="E43" s="16">
        <f>F42</f>
        <v/>
      </c>
      <c r="F43" s="16">
        <f>E43+INDEX($C$13:$C$21,A43+1)*INDEX(Ref_Calc!$AH$3:$AH$11,MATCH(D43,Ref_Calc!$AG$3:$AG$11,0))/120*365.25</f>
        <v/>
      </c>
      <c r="G43">
        <f>IF(AND(E43&lt;=Chart!B19,Chart!B19&lt;F43),1,0)</f>
        <v/>
      </c>
    </row>
    <row r="44">
      <c r="A44" t="n">
        <v>2</v>
      </c>
      <c r="B44" t="n">
        <v>2</v>
      </c>
      <c r="C44">
        <f>INDEX($B$13:$B$21,A44+1)</f>
        <v/>
      </c>
      <c r="D44">
        <f>INDEX(Ref_Calc!$AG$3:$AG$11,MOD(MATCH(C44,Ref_Calc!$AG$3:$AG$11,0)-1+B44,9)+1)</f>
        <v/>
      </c>
      <c r="E44" s="16">
        <f>F43</f>
        <v/>
      </c>
      <c r="F44" s="16">
        <f>E44+INDEX($C$13:$C$21,A44+1)*INDEX(Ref_Calc!$AH$3:$AH$11,MATCH(D44,Ref_Calc!$AG$3:$AG$11,0))/120*365.25</f>
        <v/>
      </c>
      <c r="G44">
        <f>IF(AND(E44&lt;=Chart!B19,Chart!B19&lt;F44),1,0)</f>
        <v/>
      </c>
    </row>
    <row r="45">
      <c r="A45" t="n">
        <v>2</v>
      </c>
      <c r="B45" t="n">
        <v>3</v>
      </c>
      <c r="C45">
        <f>INDEX($B$13:$B$21,A45+1)</f>
        <v/>
      </c>
      <c r="D45">
        <f>INDEX(Ref_Calc!$AG$3:$AG$11,MOD(MATCH(C45,Ref_Calc!$AG$3:$AG$11,0)-1+B45,9)+1)</f>
        <v/>
      </c>
      <c r="E45" s="16">
        <f>F44</f>
        <v/>
      </c>
      <c r="F45" s="16">
        <f>E45+INDEX($C$13:$C$21,A45+1)*INDEX(Ref_Calc!$AH$3:$AH$11,MATCH(D45,Ref_Calc!$AG$3:$AG$11,0))/120*365.25</f>
        <v/>
      </c>
      <c r="G45">
        <f>IF(AND(E45&lt;=Chart!B19,Chart!B19&lt;F45),1,0)</f>
        <v/>
      </c>
    </row>
    <row r="46">
      <c r="A46" t="n">
        <v>2</v>
      </c>
      <c r="B46" t="n">
        <v>4</v>
      </c>
      <c r="C46">
        <f>INDEX($B$13:$B$21,A46+1)</f>
        <v/>
      </c>
      <c r="D46">
        <f>INDEX(Ref_Calc!$AG$3:$AG$11,MOD(MATCH(C46,Ref_Calc!$AG$3:$AG$11,0)-1+B46,9)+1)</f>
        <v/>
      </c>
      <c r="E46" s="16">
        <f>F45</f>
        <v/>
      </c>
      <c r="F46" s="16">
        <f>E46+INDEX($C$13:$C$21,A46+1)*INDEX(Ref_Calc!$AH$3:$AH$11,MATCH(D46,Ref_Calc!$AG$3:$AG$11,0))/120*365.25</f>
        <v/>
      </c>
      <c r="G46">
        <f>IF(AND(E46&lt;=Chart!B19,Chart!B19&lt;F46),1,0)</f>
        <v/>
      </c>
    </row>
    <row r="47">
      <c r="A47" t="n">
        <v>2</v>
      </c>
      <c r="B47" t="n">
        <v>5</v>
      </c>
      <c r="C47">
        <f>INDEX($B$13:$B$21,A47+1)</f>
        <v/>
      </c>
      <c r="D47">
        <f>INDEX(Ref_Calc!$AG$3:$AG$11,MOD(MATCH(C47,Ref_Calc!$AG$3:$AG$11,0)-1+B47,9)+1)</f>
        <v/>
      </c>
      <c r="E47" s="16">
        <f>F46</f>
        <v/>
      </c>
      <c r="F47" s="16">
        <f>E47+INDEX($C$13:$C$21,A47+1)*INDEX(Ref_Calc!$AH$3:$AH$11,MATCH(D47,Ref_Calc!$AG$3:$AG$11,0))/120*365.25</f>
        <v/>
      </c>
      <c r="G47">
        <f>IF(AND(E47&lt;=Chart!B19,Chart!B19&lt;F47),1,0)</f>
        <v/>
      </c>
    </row>
    <row r="48">
      <c r="A48" t="n">
        <v>2</v>
      </c>
      <c r="B48" t="n">
        <v>6</v>
      </c>
      <c r="C48">
        <f>INDEX($B$13:$B$21,A48+1)</f>
        <v/>
      </c>
      <c r="D48">
        <f>INDEX(Ref_Calc!$AG$3:$AG$11,MOD(MATCH(C48,Ref_Calc!$AG$3:$AG$11,0)-1+B48,9)+1)</f>
        <v/>
      </c>
      <c r="E48" s="16">
        <f>F47</f>
        <v/>
      </c>
      <c r="F48" s="16">
        <f>E48+INDEX($C$13:$C$21,A48+1)*INDEX(Ref_Calc!$AH$3:$AH$11,MATCH(D48,Ref_Calc!$AG$3:$AG$11,0))/120*365.25</f>
        <v/>
      </c>
      <c r="G48">
        <f>IF(AND(E48&lt;=Chart!B19,Chart!B19&lt;F48),1,0)</f>
        <v/>
      </c>
    </row>
    <row r="49">
      <c r="A49" t="n">
        <v>2</v>
      </c>
      <c r="B49" t="n">
        <v>7</v>
      </c>
      <c r="C49">
        <f>INDEX($B$13:$B$21,A49+1)</f>
        <v/>
      </c>
      <c r="D49">
        <f>INDEX(Ref_Calc!$AG$3:$AG$11,MOD(MATCH(C49,Ref_Calc!$AG$3:$AG$11,0)-1+B49,9)+1)</f>
        <v/>
      </c>
      <c r="E49" s="16">
        <f>F48</f>
        <v/>
      </c>
      <c r="F49" s="16">
        <f>E49+INDEX($C$13:$C$21,A49+1)*INDEX(Ref_Calc!$AH$3:$AH$11,MATCH(D49,Ref_Calc!$AG$3:$AG$11,0))/120*365.25</f>
        <v/>
      </c>
      <c r="G49">
        <f>IF(AND(E49&lt;=Chart!B19,Chart!B19&lt;F49),1,0)</f>
        <v/>
      </c>
    </row>
    <row r="50">
      <c r="A50" t="n">
        <v>2</v>
      </c>
      <c r="B50" t="n">
        <v>8</v>
      </c>
      <c r="C50">
        <f>INDEX($B$13:$B$21,A50+1)</f>
        <v/>
      </c>
      <c r="D50">
        <f>INDEX(Ref_Calc!$AG$3:$AG$11,MOD(MATCH(C50,Ref_Calc!$AG$3:$AG$11,0)-1+B50,9)+1)</f>
        <v/>
      </c>
      <c r="E50" s="16">
        <f>F49</f>
        <v/>
      </c>
      <c r="F50" s="16">
        <f>E50+INDEX($C$13:$C$21,A50+1)*INDEX(Ref_Calc!$AH$3:$AH$11,MATCH(D50,Ref_Calc!$AG$3:$AG$11,0))/120*365.25</f>
        <v/>
      </c>
      <c r="G50">
        <f>IF(AND(E50&lt;=Chart!B19,Chart!B19&lt;F50),1,0)</f>
        <v/>
      </c>
    </row>
    <row r="51">
      <c r="A51" t="n">
        <v>3</v>
      </c>
      <c r="B51" t="n">
        <v>0</v>
      </c>
      <c r="C51">
        <f>INDEX($B$13:$B$21,A51+1)</f>
        <v/>
      </c>
      <c r="D51">
        <f>INDEX(Ref_Calc!$AG$3:$AG$11,MOD(MATCH(C51,Ref_Calc!$AG$3:$AG$11,0)-1+B51,9)+1)</f>
        <v/>
      </c>
      <c r="E51" s="16">
        <f>INDEX($D$13:$D$21,A51+1)</f>
        <v/>
      </c>
      <c r="F51" s="16">
        <f>E51+INDEX($C$13:$C$21,A51+1)*INDEX(Ref_Calc!$AH$3:$AH$11,MATCH(D51,Ref_Calc!$AG$3:$AG$11,0))/120*365.25</f>
        <v/>
      </c>
      <c r="G51">
        <f>IF(AND(E51&lt;=Chart!B19,Chart!B19&lt;F51),1,0)</f>
        <v/>
      </c>
    </row>
    <row r="52">
      <c r="A52" t="n">
        <v>3</v>
      </c>
      <c r="B52" t="n">
        <v>1</v>
      </c>
      <c r="C52">
        <f>INDEX($B$13:$B$21,A52+1)</f>
        <v/>
      </c>
      <c r="D52">
        <f>INDEX(Ref_Calc!$AG$3:$AG$11,MOD(MATCH(C52,Ref_Calc!$AG$3:$AG$11,0)-1+B52,9)+1)</f>
        <v/>
      </c>
      <c r="E52" s="16">
        <f>F51</f>
        <v/>
      </c>
      <c r="F52" s="16">
        <f>E52+INDEX($C$13:$C$21,A52+1)*INDEX(Ref_Calc!$AH$3:$AH$11,MATCH(D52,Ref_Calc!$AG$3:$AG$11,0))/120*365.25</f>
        <v/>
      </c>
      <c r="G52">
        <f>IF(AND(E52&lt;=Chart!B19,Chart!B19&lt;F52),1,0)</f>
        <v/>
      </c>
    </row>
    <row r="53">
      <c r="A53" t="n">
        <v>3</v>
      </c>
      <c r="B53" t="n">
        <v>2</v>
      </c>
      <c r="C53">
        <f>INDEX($B$13:$B$21,A53+1)</f>
        <v/>
      </c>
      <c r="D53">
        <f>INDEX(Ref_Calc!$AG$3:$AG$11,MOD(MATCH(C53,Ref_Calc!$AG$3:$AG$11,0)-1+B53,9)+1)</f>
        <v/>
      </c>
      <c r="E53" s="16">
        <f>F52</f>
        <v/>
      </c>
      <c r="F53" s="16">
        <f>E53+INDEX($C$13:$C$21,A53+1)*INDEX(Ref_Calc!$AH$3:$AH$11,MATCH(D53,Ref_Calc!$AG$3:$AG$11,0))/120*365.25</f>
        <v/>
      </c>
      <c r="G53">
        <f>IF(AND(E53&lt;=Chart!B19,Chart!B19&lt;F53),1,0)</f>
        <v/>
      </c>
    </row>
    <row r="54">
      <c r="A54" t="n">
        <v>3</v>
      </c>
      <c r="B54" t="n">
        <v>3</v>
      </c>
      <c r="C54">
        <f>INDEX($B$13:$B$21,A54+1)</f>
        <v/>
      </c>
      <c r="D54">
        <f>INDEX(Ref_Calc!$AG$3:$AG$11,MOD(MATCH(C54,Ref_Calc!$AG$3:$AG$11,0)-1+B54,9)+1)</f>
        <v/>
      </c>
      <c r="E54" s="16">
        <f>F53</f>
        <v/>
      </c>
      <c r="F54" s="16">
        <f>E54+INDEX($C$13:$C$21,A54+1)*INDEX(Ref_Calc!$AH$3:$AH$11,MATCH(D54,Ref_Calc!$AG$3:$AG$11,0))/120*365.25</f>
        <v/>
      </c>
      <c r="G54">
        <f>IF(AND(E54&lt;=Chart!B19,Chart!B19&lt;F54),1,0)</f>
        <v/>
      </c>
    </row>
    <row r="55">
      <c r="A55" t="n">
        <v>3</v>
      </c>
      <c r="B55" t="n">
        <v>4</v>
      </c>
      <c r="C55">
        <f>INDEX($B$13:$B$21,A55+1)</f>
        <v/>
      </c>
      <c r="D55">
        <f>INDEX(Ref_Calc!$AG$3:$AG$11,MOD(MATCH(C55,Ref_Calc!$AG$3:$AG$11,0)-1+B55,9)+1)</f>
        <v/>
      </c>
      <c r="E55" s="16">
        <f>F54</f>
        <v/>
      </c>
      <c r="F55" s="16">
        <f>E55+INDEX($C$13:$C$21,A55+1)*INDEX(Ref_Calc!$AH$3:$AH$11,MATCH(D55,Ref_Calc!$AG$3:$AG$11,0))/120*365.25</f>
        <v/>
      </c>
      <c r="G55">
        <f>IF(AND(E55&lt;=Chart!B19,Chart!B19&lt;F55),1,0)</f>
        <v/>
      </c>
    </row>
    <row r="56">
      <c r="A56" t="n">
        <v>3</v>
      </c>
      <c r="B56" t="n">
        <v>5</v>
      </c>
      <c r="C56">
        <f>INDEX($B$13:$B$21,A56+1)</f>
        <v/>
      </c>
      <c r="D56">
        <f>INDEX(Ref_Calc!$AG$3:$AG$11,MOD(MATCH(C56,Ref_Calc!$AG$3:$AG$11,0)-1+B56,9)+1)</f>
        <v/>
      </c>
      <c r="E56" s="16">
        <f>F55</f>
        <v/>
      </c>
      <c r="F56" s="16">
        <f>E56+INDEX($C$13:$C$21,A56+1)*INDEX(Ref_Calc!$AH$3:$AH$11,MATCH(D56,Ref_Calc!$AG$3:$AG$11,0))/120*365.25</f>
        <v/>
      </c>
      <c r="G56">
        <f>IF(AND(E56&lt;=Chart!B19,Chart!B19&lt;F56),1,0)</f>
        <v/>
      </c>
    </row>
    <row r="57">
      <c r="A57" t="n">
        <v>3</v>
      </c>
      <c r="B57" t="n">
        <v>6</v>
      </c>
      <c r="C57">
        <f>INDEX($B$13:$B$21,A57+1)</f>
        <v/>
      </c>
      <c r="D57">
        <f>INDEX(Ref_Calc!$AG$3:$AG$11,MOD(MATCH(C57,Ref_Calc!$AG$3:$AG$11,0)-1+B57,9)+1)</f>
        <v/>
      </c>
      <c r="E57" s="16">
        <f>F56</f>
        <v/>
      </c>
      <c r="F57" s="16">
        <f>E57+INDEX($C$13:$C$21,A57+1)*INDEX(Ref_Calc!$AH$3:$AH$11,MATCH(D57,Ref_Calc!$AG$3:$AG$11,0))/120*365.25</f>
        <v/>
      </c>
      <c r="G57">
        <f>IF(AND(E57&lt;=Chart!B19,Chart!B19&lt;F57),1,0)</f>
        <v/>
      </c>
    </row>
    <row r="58">
      <c r="A58" t="n">
        <v>3</v>
      </c>
      <c r="B58" t="n">
        <v>7</v>
      </c>
      <c r="C58">
        <f>INDEX($B$13:$B$21,A58+1)</f>
        <v/>
      </c>
      <c r="D58">
        <f>INDEX(Ref_Calc!$AG$3:$AG$11,MOD(MATCH(C58,Ref_Calc!$AG$3:$AG$11,0)-1+B58,9)+1)</f>
        <v/>
      </c>
      <c r="E58" s="16">
        <f>F57</f>
        <v/>
      </c>
      <c r="F58" s="16">
        <f>E58+INDEX($C$13:$C$21,A58+1)*INDEX(Ref_Calc!$AH$3:$AH$11,MATCH(D58,Ref_Calc!$AG$3:$AG$11,0))/120*365.25</f>
        <v/>
      </c>
      <c r="G58">
        <f>IF(AND(E58&lt;=Chart!B19,Chart!B19&lt;F58),1,0)</f>
        <v/>
      </c>
    </row>
    <row r="59">
      <c r="A59" t="n">
        <v>3</v>
      </c>
      <c r="B59" t="n">
        <v>8</v>
      </c>
      <c r="C59">
        <f>INDEX($B$13:$B$21,A59+1)</f>
        <v/>
      </c>
      <c r="D59">
        <f>INDEX(Ref_Calc!$AG$3:$AG$11,MOD(MATCH(C59,Ref_Calc!$AG$3:$AG$11,0)-1+B59,9)+1)</f>
        <v/>
      </c>
      <c r="E59" s="16">
        <f>F58</f>
        <v/>
      </c>
      <c r="F59" s="16">
        <f>E59+INDEX($C$13:$C$21,A59+1)*INDEX(Ref_Calc!$AH$3:$AH$11,MATCH(D59,Ref_Calc!$AG$3:$AG$11,0))/120*365.25</f>
        <v/>
      </c>
      <c r="G59">
        <f>IF(AND(E59&lt;=Chart!B19,Chart!B19&lt;F59),1,0)</f>
        <v/>
      </c>
    </row>
    <row r="60">
      <c r="A60" t="n">
        <v>4</v>
      </c>
      <c r="B60" t="n">
        <v>0</v>
      </c>
      <c r="C60">
        <f>INDEX($B$13:$B$21,A60+1)</f>
        <v/>
      </c>
      <c r="D60">
        <f>INDEX(Ref_Calc!$AG$3:$AG$11,MOD(MATCH(C60,Ref_Calc!$AG$3:$AG$11,0)-1+B60,9)+1)</f>
        <v/>
      </c>
      <c r="E60" s="16">
        <f>INDEX($D$13:$D$21,A60+1)</f>
        <v/>
      </c>
      <c r="F60" s="16">
        <f>E60+INDEX($C$13:$C$21,A60+1)*INDEX(Ref_Calc!$AH$3:$AH$11,MATCH(D60,Ref_Calc!$AG$3:$AG$11,0))/120*365.25</f>
        <v/>
      </c>
      <c r="G60">
        <f>IF(AND(E60&lt;=Chart!B19,Chart!B19&lt;F60),1,0)</f>
        <v/>
      </c>
    </row>
    <row r="61">
      <c r="A61" t="n">
        <v>4</v>
      </c>
      <c r="B61" t="n">
        <v>1</v>
      </c>
      <c r="C61">
        <f>INDEX($B$13:$B$21,A61+1)</f>
        <v/>
      </c>
      <c r="D61">
        <f>INDEX(Ref_Calc!$AG$3:$AG$11,MOD(MATCH(C61,Ref_Calc!$AG$3:$AG$11,0)-1+B61,9)+1)</f>
        <v/>
      </c>
      <c r="E61" s="16">
        <f>F60</f>
        <v/>
      </c>
      <c r="F61" s="16">
        <f>E61+INDEX($C$13:$C$21,A61+1)*INDEX(Ref_Calc!$AH$3:$AH$11,MATCH(D61,Ref_Calc!$AG$3:$AG$11,0))/120*365.25</f>
        <v/>
      </c>
      <c r="G61">
        <f>IF(AND(E61&lt;=Chart!B19,Chart!B19&lt;F61),1,0)</f>
        <v/>
      </c>
    </row>
    <row r="62">
      <c r="A62" t="n">
        <v>4</v>
      </c>
      <c r="B62" t="n">
        <v>2</v>
      </c>
      <c r="C62">
        <f>INDEX($B$13:$B$21,A62+1)</f>
        <v/>
      </c>
      <c r="D62">
        <f>INDEX(Ref_Calc!$AG$3:$AG$11,MOD(MATCH(C62,Ref_Calc!$AG$3:$AG$11,0)-1+B62,9)+1)</f>
        <v/>
      </c>
      <c r="E62" s="16">
        <f>F61</f>
        <v/>
      </c>
      <c r="F62" s="16">
        <f>E62+INDEX($C$13:$C$21,A62+1)*INDEX(Ref_Calc!$AH$3:$AH$11,MATCH(D62,Ref_Calc!$AG$3:$AG$11,0))/120*365.25</f>
        <v/>
      </c>
      <c r="G62">
        <f>IF(AND(E62&lt;=Chart!B19,Chart!B19&lt;F62),1,0)</f>
        <v/>
      </c>
    </row>
    <row r="63">
      <c r="A63" t="n">
        <v>4</v>
      </c>
      <c r="B63" t="n">
        <v>3</v>
      </c>
      <c r="C63">
        <f>INDEX($B$13:$B$21,A63+1)</f>
        <v/>
      </c>
      <c r="D63">
        <f>INDEX(Ref_Calc!$AG$3:$AG$11,MOD(MATCH(C63,Ref_Calc!$AG$3:$AG$11,0)-1+B63,9)+1)</f>
        <v/>
      </c>
      <c r="E63" s="16">
        <f>F62</f>
        <v/>
      </c>
      <c r="F63" s="16">
        <f>E63+INDEX($C$13:$C$21,A63+1)*INDEX(Ref_Calc!$AH$3:$AH$11,MATCH(D63,Ref_Calc!$AG$3:$AG$11,0))/120*365.25</f>
        <v/>
      </c>
      <c r="G63">
        <f>IF(AND(E63&lt;=Chart!B19,Chart!B19&lt;F63),1,0)</f>
        <v/>
      </c>
    </row>
    <row r="64">
      <c r="A64" t="n">
        <v>4</v>
      </c>
      <c r="B64" t="n">
        <v>4</v>
      </c>
      <c r="C64">
        <f>INDEX($B$13:$B$21,A64+1)</f>
        <v/>
      </c>
      <c r="D64">
        <f>INDEX(Ref_Calc!$AG$3:$AG$11,MOD(MATCH(C64,Ref_Calc!$AG$3:$AG$11,0)-1+B64,9)+1)</f>
        <v/>
      </c>
      <c r="E64" s="16">
        <f>F63</f>
        <v/>
      </c>
      <c r="F64" s="16">
        <f>E64+INDEX($C$13:$C$21,A64+1)*INDEX(Ref_Calc!$AH$3:$AH$11,MATCH(D64,Ref_Calc!$AG$3:$AG$11,0))/120*365.25</f>
        <v/>
      </c>
      <c r="G64">
        <f>IF(AND(E64&lt;=Chart!B19,Chart!B19&lt;F64),1,0)</f>
        <v/>
      </c>
    </row>
    <row r="65">
      <c r="A65" t="n">
        <v>4</v>
      </c>
      <c r="B65" t="n">
        <v>5</v>
      </c>
      <c r="C65">
        <f>INDEX($B$13:$B$21,A65+1)</f>
        <v/>
      </c>
      <c r="D65">
        <f>INDEX(Ref_Calc!$AG$3:$AG$11,MOD(MATCH(C65,Ref_Calc!$AG$3:$AG$11,0)-1+B65,9)+1)</f>
        <v/>
      </c>
      <c r="E65" s="16">
        <f>F64</f>
        <v/>
      </c>
      <c r="F65" s="16">
        <f>E65+INDEX($C$13:$C$21,A65+1)*INDEX(Ref_Calc!$AH$3:$AH$11,MATCH(D65,Ref_Calc!$AG$3:$AG$11,0))/120*365.25</f>
        <v/>
      </c>
      <c r="G65">
        <f>IF(AND(E65&lt;=Chart!B19,Chart!B19&lt;F65),1,0)</f>
        <v/>
      </c>
    </row>
    <row r="66">
      <c r="A66" t="n">
        <v>4</v>
      </c>
      <c r="B66" t="n">
        <v>6</v>
      </c>
      <c r="C66">
        <f>INDEX($B$13:$B$21,A66+1)</f>
        <v/>
      </c>
      <c r="D66">
        <f>INDEX(Ref_Calc!$AG$3:$AG$11,MOD(MATCH(C66,Ref_Calc!$AG$3:$AG$11,0)-1+B66,9)+1)</f>
        <v/>
      </c>
      <c r="E66" s="16">
        <f>F65</f>
        <v/>
      </c>
      <c r="F66" s="16">
        <f>E66+INDEX($C$13:$C$21,A66+1)*INDEX(Ref_Calc!$AH$3:$AH$11,MATCH(D66,Ref_Calc!$AG$3:$AG$11,0))/120*365.25</f>
        <v/>
      </c>
      <c r="G66">
        <f>IF(AND(E66&lt;=Chart!B19,Chart!B19&lt;F66),1,0)</f>
        <v/>
      </c>
    </row>
    <row r="67">
      <c r="A67" t="n">
        <v>4</v>
      </c>
      <c r="B67" t="n">
        <v>7</v>
      </c>
      <c r="C67">
        <f>INDEX($B$13:$B$21,A67+1)</f>
        <v/>
      </c>
      <c r="D67">
        <f>INDEX(Ref_Calc!$AG$3:$AG$11,MOD(MATCH(C67,Ref_Calc!$AG$3:$AG$11,0)-1+B67,9)+1)</f>
        <v/>
      </c>
      <c r="E67" s="16">
        <f>F66</f>
        <v/>
      </c>
      <c r="F67" s="16">
        <f>E67+INDEX($C$13:$C$21,A67+1)*INDEX(Ref_Calc!$AH$3:$AH$11,MATCH(D67,Ref_Calc!$AG$3:$AG$11,0))/120*365.25</f>
        <v/>
      </c>
      <c r="G67">
        <f>IF(AND(E67&lt;=Chart!B19,Chart!B19&lt;F67),1,0)</f>
        <v/>
      </c>
    </row>
    <row r="68">
      <c r="A68" t="n">
        <v>4</v>
      </c>
      <c r="B68" t="n">
        <v>8</v>
      </c>
      <c r="C68">
        <f>INDEX($B$13:$B$21,A68+1)</f>
        <v/>
      </c>
      <c r="D68">
        <f>INDEX(Ref_Calc!$AG$3:$AG$11,MOD(MATCH(C68,Ref_Calc!$AG$3:$AG$11,0)-1+B68,9)+1)</f>
        <v/>
      </c>
      <c r="E68" s="16">
        <f>F67</f>
        <v/>
      </c>
      <c r="F68" s="16">
        <f>E68+INDEX($C$13:$C$21,A68+1)*INDEX(Ref_Calc!$AH$3:$AH$11,MATCH(D68,Ref_Calc!$AG$3:$AG$11,0))/120*365.25</f>
        <v/>
      </c>
      <c r="G68">
        <f>IF(AND(E68&lt;=Chart!B19,Chart!B19&lt;F68),1,0)</f>
        <v/>
      </c>
    </row>
    <row r="69">
      <c r="A69" t="n">
        <v>5</v>
      </c>
      <c r="B69" t="n">
        <v>0</v>
      </c>
      <c r="C69">
        <f>INDEX($B$13:$B$21,A69+1)</f>
        <v/>
      </c>
      <c r="D69">
        <f>INDEX(Ref_Calc!$AG$3:$AG$11,MOD(MATCH(C69,Ref_Calc!$AG$3:$AG$11,0)-1+B69,9)+1)</f>
        <v/>
      </c>
      <c r="E69" s="16">
        <f>INDEX($D$13:$D$21,A69+1)</f>
        <v/>
      </c>
      <c r="F69" s="16">
        <f>E69+INDEX($C$13:$C$21,A69+1)*INDEX(Ref_Calc!$AH$3:$AH$11,MATCH(D69,Ref_Calc!$AG$3:$AG$11,0))/120*365.25</f>
        <v/>
      </c>
      <c r="G69">
        <f>IF(AND(E69&lt;=Chart!B19,Chart!B19&lt;F69),1,0)</f>
        <v/>
      </c>
    </row>
    <row r="70">
      <c r="A70" t="n">
        <v>5</v>
      </c>
      <c r="B70" t="n">
        <v>1</v>
      </c>
      <c r="C70">
        <f>INDEX($B$13:$B$21,A70+1)</f>
        <v/>
      </c>
      <c r="D70">
        <f>INDEX(Ref_Calc!$AG$3:$AG$11,MOD(MATCH(C70,Ref_Calc!$AG$3:$AG$11,0)-1+B70,9)+1)</f>
        <v/>
      </c>
      <c r="E70" s="16">
        <f>F69</f>
        <v/>
      </c>
      <c r="F70" s="16">
        <f>E70+INDEX($C$13:$C$21,A70+1)*INDEX(Ref_Calc!$AH$3:$AH$11,MATCH(D70,Ref_Calc!$AG$3:$AG$11,0))/120*365.25</f>
        <v/>
      </c>
      <c r="G70">
        <f>IF(AND(E70&lt;=Chart!B19,Chart!B19&lt;F70),1,0)</f>
        <v/>
      </c>
    </row>
    <row r="71">
      <c r="A71" t="n">
        <v>5</v>
      </c>
      <c r="B71" t="n">
        <v>2</v>
      </c>
      <c r="C71">
        <f>INDEX($B$13:$B$21,A71+1)</f>
        <v/>
      </c>
      <c r="D71">
        <f>INDEX(Ref_Calc!$AG$3:$AG$11,MOD(MATCH(C71,Ref_Calc!$AG$3:$AG$11,0)-1+B71,9)+1)</f>
        <v/>
      </c>
      <c r="E71" s="16">
        <f>F70</f>
        <v/>
      </c>
      <c r="F71" s="16">
        <f>E71+INDEX($C$13:$C$21,A71+1)*INDEX(Ref_Calc!$AH$3:$AH$11,MATCH(D71,Ref_Calc!$AG$3:$AG$11,0))/120*365.25</f>
        <v/>
      </c>
      <c r="G71">
        <f>IF(AND(E71&lt;=Chart!B19,Chart!B19&lt;F71),1,0)</f>
        <v/>
      </c>
    </row>
    <row r="72">
      <c r="A72" t="n">
        <v>5</v>
      </c>
      <c r="B72" t="n">
        <v>3</v>
      </c>
      <c r="C72">
        <f>INDEX($B$13:$B$21,A72+1)</f>
        <v/>
      </c>
      <c r="D72">
        <f>INDEX(Ref_Calc!$AG$3:$AG$11,MOD(MATCH(C72,Ref_Calc!$AG$3:$AG$11,0)-1+B72,9)+1)</f>
        <v/>
      </c>
      <c r="E72" s="16">
        <f>F71</f>
        <v/>
      </c>
      <c r="F72" s="16">
        <f>E72+INDEX($C$13:$C$21,A72+1)*INDEX(Ref_Calc!$AH$3:$AH$11,MATCH(D72,Ref_Calc!$AG$3:$AG$11,0))/120*365.25</f>
        <v/>
      </c>
      <c r="G72">
        <f>IF(AND(E72&lt;=Chart!B19,Chart!B19&lt;F72),1,0)</f>
        <v/>
      </c>
    </row>
    <row r="73">
      <c r="A73" t="n">
        <v>5</v>
      </c>
      <c r="B73" t="n">
        <v>4</v>
      </c>
      <c r="C73">
        <f>INDEX($B$13:$B$21,A73+1)</f>
        <v/>
      </c>
      <c r="D73">
        <f>INDEX(Ref_Calc!$AG$3:$AG$11,MOD(MATCH(C73,Ref_Calc!$AG$3:$AG$11,0)-1+B73,9)+1)</f>
        <v/>
      </c>
      <c r="E73" s="16">
        <f>F72</f>
        <v/>
      </c>
      <c r="F73" s="16">
        <f>E73+INDEX($C$13:$C$21,A73+1)*INDEX(Ref_Calc!$AH$3:$AH$11,MATCH(D73,Ref_Calc!$AG$3:$AG$11,0))/120*365.25</f>
        <v/>
      </c>
      <c r="G73">
        <f>IF(AND(E73&lt;=Chart!B19,Chart!B19&lt;F73),1,0)</f>
        <v/>
      </c>
    </row>
    <row r="74">
      <c r="A74" t="n">
        <v>5</v>
      </c>
      <c r="B74" t="n">
        <v>5</v>
      </c>
      <c r="C74">
        <f>INDEX($B$13:$B$21,A74+1)</f>
        <v/>
      </c>
      <c r="D74">
        <f>INDEX(Ref_Calc!$AG$3:$AG$11,MOD(MATCH(C74,Ref_Calc!$AG$3:$AG$11,0)-1+B74,9)+1)</f>
        <v/>
      </c>
      <c r="E74" s="16">
        <f>F73</f>
        <v/>
      </c>
      <c r="F74" s="16">
        <f>E74+INDEX($C$13:$C$21,A74+1)*INDEX(Ref_Calc!$AH$3:$AH$11,MATCH(D74,Ref_Calc!$AG$3:$AG$11,0))/120*365.25</f>
        <v/>
      </c>
      <c r="G74">
        <f>IF(AND(E74&lt;=Chart!B19,Chart!B19&lt;F74),1,0)</f>
        <v/>
      </c>
    </row>
    <row r="75">
      <c r="A75" t="n">
        <v>5</v>
      </c>
      <c r="B75" t="n">
        <v>6</v>
      </c>
      <c r="C75">
        <f>INDEX($B$13:$B$21,A75+1)</f>
        <v/>
      </c>
      <c r="D75">
        <f>INDEX(Ref_Calc!$AG$3:$AG$11,MOD(MATCH(C75,Ref_Calc!$AG$3:$AG$11,0)-1+B75,9)+1)</f>
        <v/>
      </c>
      <c r="E75" s="16">
        <f>F74</f>
        <v/>
      </c>
      <c r="F75" s="16">
        <f>E75+INDEX($C$13:$C$21,A75+1)*INDEX(Ref_Calc!$AH$3:$AH$11,MATCH(D75,Ref_Calc!$AG$3:$AG$11,0))/120*365.25</f>
        <v/>
      </c>
      <c r="G75">
        <f>IF(AND(E75&lt;=Chart!B19,Chart!B19&lt;F75),1,0)</f>
        <v/>
      </c>
    </row>
    <row r="76">
      <c r="A76" t="n">
        <v>5</v>
      </c>
      <c r="B76" t="n">
        <v>7</v>
      </c>
      <c r="C76">
        <f>INDEX($B$13:$B$21,A76+1)</f>
        <v/>
      </c>
      <c r="D76">
        <f>INDEX(Ref_Calc!$AG$3:$AG$11,MOD(MATCH(C76,Ref_Calc!$AG$3:$AG$11,0)-1+B76,9)+1)</f>
        <v/>
      </c>
      <c r="E76" s="16">
        <f>F75</f>
        <v/>
      </c>
      <c r="F76" s="16">
        <f>E76+INDEX($C$13:$C$21,A76+1)*INDEX(Ref_Calc!$AH$3:$AH$11,MATCH(D76,Ref_Calc!$AG$3:$AG$11,0))/120*365.25</f>
        <v/>
      </c>
      <c r="G76">
        <f>IF(AND(E76&lt;=Chart!B19,Chart!B19&lt;F76),1,0)</f>
        <v/>
      </c>
    </row>
    <row r="77">
      <c r="A77" t="n">
        <v>5</v>
      </c>
      <c r="B77" t="n">
        <v>8</v>
      </c>
      <c r="C77">
        <f>INDEX($B$13:$B$21,A77+1)</f>
        <v/>
      </c>
      <c r="D77">
        <f>INDEX(Ref_Calc!$AG$3:$AG$11,MOD(MATCH(C77,Ref_Calc!$AG$3:$AG$11,0)-1+B77,9)+1)</f>
        <v/>
      </c>
      <c r="E77" s="16">
        <f>F76</f>
        <v/>
      </c>
      <c r="F77" s="16">
        <f>E77+INDEX($C$13:$C$21,A77+1)*INDEX(Ref_Calc!$AH$3:$AH$11,MATCH(D77,Ref_Calc!$AG$3:$AG$11,0))/120*365.25</f>
        <v/>
      </c>
      <c r="G77">
        <f>IF(AND(E77&lt;=Chart!B19,Chart!B19&lt;F77),1,0)</f>
        <v/>
      </c>
    </row>
    <row r="78">
      <c r="A78" t="n">
        <v>6</v>
      </c>
      <c r="B78" t="n">
        <v>0</v>
      </c>
      <c r="C78">
        <f>INDEX($B$13:$B$21,A78+1)</f>
        <v/>
      </c>
      <c r="D78">
        <f>INDEX(Ref_Calc!$AG$3:$AG$11,MOD(MATCH(C78,Ref_Calc!$AG$3:$AG$11,0)-1+B78,9)+1)</f>
        <v/>
      </c>
      <c r="E78" s="16">
        <f>INDEX($D$13:$D$21,A78+1)</f>
        <v/>
      </c>
      <c r="F78" s="16">
        <f>E78+INDEX($C$13:$C$21,A78+1)*INDEX(Ref_Calc!$AH$3:$AH$11,MATCH(D78,Ref_Calc!$AG$3:$AG$11,0))/120*365.25</f>
        <v/>
      </c>
      <c r="G78">
        <f>IF(AND(E78&lt;=Chart!B19,Chart!B19&lt;F78),1,0)</f>
        <v/>
      </c>
    </row>
    <row r="79">
      <c r="A79" t="n">
        <v>6</v>
      </c>
      <c r="B79" t="n">
        <v>1</v>
      </c>
      <c r="C79">
        <f>INDEX($B$13:$B$21,A79+1)</f>
        <v/>
      </c>
      <c r="D79">
        <f>INDEX(Ref_Calc!$AG$3:$AG$11,MOD(MATCH(C79,Ref_Calc!$AG$3:$AG$11,0)-1+B79,9)+1)</f>
        <v/>
      </c>
      <c r="E79" s="16">
        <f>F78</f>
        <v/>
      </c>
      <c r="F79" s="16">
        <f>E79+INDEX($C$13:$C$21,A79+1)*INDEX(Ref_Calc!$AH$3:$AH$11,MATCH(D79,Ref_Calc!$AG$3:$AG$11,0))/120*365.25</f>
        <v/>
      </c>
      <c r="G79">
        <f>IF(AND(E79&lt;=Chart!B19,Chart!B19&lt;F79),1,0)</f>
        <v/>
      </c>
    </row>
    <row r="80">
      <c r="A80" t="n">
        <v>6</v>
      </c>
      <c r="B80" t="n">
        <v>2</v>
      </c>
      <c r="C80">
        <f>INDEX($B$13:$B$21,A80+1)</f>
        <v/>
      </c>
      <c r="D80">
        <f>INDEX(Ref_Calc!$AG$3:$AG$11,MOD(MATCH(C80,Ref_Calc!$AG$3:$AG$11,0)-1+B80,9)+1)</f>
        <v/>
      </c>
      <c r="E80" s="16">
        <f>F79</f>
        <v/>
      </c>
      <c r="F80" s="16">
        <f>E80+INDEX($C$13:$C$21,A80+1)*INDEX(Ref_Calc!$AH$3:$AH$11,MATCH(D80,Ref_Calc!$AG$3:$AG$11,0))/120*365.25</f>
        <v/>
      </c>
      <c r="G80">
        <f>IF(AND(E80&lt;=Chart!B19,Chart!B19&lt;F80),1,0)</f>
        <v/>
      </c>
    </row>
    <row r="81">
      <c r="A81" t="n">
        <v>6</v>
      </c>
      <c r="B81" t="n">
        <v>3</v>
      </c>
      <c r="C81">
        <f>INDEX($B$13:$B$21,A81+1)</f>
        <v/>
      </c>
      <c r="D81">
        <f>INDEX(Ref_Calc!$AG$3:$AG$11,MOD(MATCH(C81,Ref_Calc!$AG$3:$AG$11,0)-1+B81,9)+1)</f>
        <v/>
      </c>
      <c r="E81" s="16">
        <f>F80</f>
        <v/>
      </c>
      <c r="F81" s="16">
        <f>E81+INDEX($C$13:$C$21,A81+1)*INDEX(Ref_Calc!$AH$3:$AH$11,MATCH(D81,Ref_Calc!$AG$3:$AG$11,0))/120*365.25</f>
        <v/>
      </c>
      <c r="G81">
        <f>IF(AND(E81&lt;=Chart!B19,Chart!B19&lt;F81),1,0)</f>
        <v/>
      </c>
    </row>
    <row r="82">
      <c r="A82" t="n">
        <v>6</v>
      </c>
      <c r="B82" t="n">
        <v>4</v>
      </c>
      <c r="C82">
        <f>INDEX($B$13:$B$21,A82+1)</f>
        <v/>
      </c>
      <c r="D82">
        <f>INDEX(Ref_Calc!$AG$3:$AG$11,MOD(MATCH(C82,Ref_Calc!$AG$3:$AG$11,0)-1+B82,9)+1)</f>
        <v/>
      </c>
      <c r="E82" s="16">
        <f>F81</f>
        <v/>
      </c>
      <c r="F82" s="16">
        <f>E82+INDEX($C$13:$C$21,A82+1)*INDEX(Ref_Calc!$AH$3:$AH$11,MATCH(D82,Ref_Calc!$AG$3:$AG$11,0))/120*365.25</f>
        <v/>
      </c>
      <c r="G82">
        <f>IF(AND(E82&lt;=Chart!B19,Chart!B19&lt;F82),1,0)</f>
        <v/>
      </c>
    </row>
    <row r="83">
      <c r="A83" t="n">
        <v>6</v>
      </c>
      <c r="B83" t="n">
        <v>5</v>
      </c>
      <c r="C83">
        <f>INDEX($B$13:$B$21,A83+1)</f>
        <v/>
      </c>
      <c r="D83">
        <f>INDEX(Ref_Calc!$AG$3:$AG$11,MOD(MATCH(C83,Ref_Calc!$AG$3:$AG$11,0)-1+B83,9)+1)</f>
        <v/>
      </c>
      <c r="E83" s="16">
        <f>F82</f>
        <v/>
      </c>
      <c r="F83" s="16">
        <f>E83+INDEX($C$13:$C$21,A83+1)*INDEX(Ref_Calc!$AH$3:$AH$11,MATCH(D83,Ref_Calc!$AG$3:$AG$11,0))/120*365.25</f>
        <v/>
      </c>
      <c r="G83">
        <f>IF(AND(E83&lt;=Chart!B19,Chart!B19&lt;F83),1,0)</f>
        <v/>
      </c>
    </row>
    <row r="84">
      <c r="A84" t="n">
        <v>6</v>
      </c>
      <c r="B84" t="n">
        <v>6</v>
      </c>
      <c r="C84">
        <f>INDEX($B$13:$B$21,A84+1)</f>
        <v/>
      </c>
      <c r="D84">
        <f>INDEX(Ref_Calc!$AG$3:$AG$11,MOD(MATCH(C84,Ref_Calc!$AG$3:$AG$11,0)-1+B84,9)+1)</f>
        <v/>
      </c>
      <c r="E84" s="16">
        <f>F83</f>
        <v/>
      </c>
      <c r="F84" s="16">
        <f>E84+INDEX($C$13:$C$21,A84+1)*INDEX(Ref_Calc!$AH$3:$AH$11,MATCH(D84,Ref_Calc!$AG$3:$AG$11,0))/120*365.25</f>
        <v/>
      </c>
      <c r="G84">
        <f>IF(AND(E84&lt;=Chart!B19,Chart!B19&lt;F84),1,0)</f>
        <v/>
      </c>
    </row>
    <row r="85">
      <c r="A85" t="n">
        <v>6</v>
      </c>
      <c r="B85" t="n">
        <v>7</v>
      </c>
      <c r="C85">
        <f>INDEX($B$13:$B$21,A85+1)</f>
        <v/>
      </c>
      <c r="D85">
        <f>INDEX(Ref_Calc!$AG$3:$AG$11,MOD(MATCH(C85,Ref_Calc!$AG$3:$AG$11,0)-1+B85,9)+1)</f>
        <v/>
      </c>
      <c r="E85" s="16">
        <f>F84</f>
        <v/>
      </c>
      <c r="F85" s="16">
        <f>E85+INDEX($C$13:$C$21,A85+1)*INDEX(Ref_Calc!$AH$3:$AH$11,MATCH(D85,Ref_Calc!$AG$3:$AG$11,0))/120*365.25</f>
        <v/>
      </c>
      <c r="G85">
        <f>IF(AND(E85&lt;=Chart!B19,Chart!B19&lt;F85),1,0)</f>
        <v/>
      </c>
    </row>
    <row r="86">
      <c r="A86" t="n">
        <v>6</v>
      </c>
      <c r="B86" t="n">
        <v>8</v>
      </c>
      <c r="C86">
        <f>INDEX($B$13:$B$21,A86+1)</f>
        <v/>
      </c>
      <c r="D86">
        <f>INDEX(Ref_Calc!$AG$3:$AG$11,MOD(MATCH(C86,Ref_Calc!$AG$3:$AG$11,0)-1+B86,9)+1)</f>
        <v/>
      </c>
      <c r="E86" s="16">
        <f>F85</f>
        <v/>
      </c>
      <c r="F86" s="16">
        <f>E86+INDEX($C$13:$C$21,A86+1)*INDEX(Ref_Calc!$AH$3:$AH$11,MATCH(D86,Ref_Calc!$AG$3:$AG$11,0))/120*365.25</f>
        <v/>
      </c>
      <c r="G86">
        <f>IF(AND(E86&lt;=Chart!B19,Chart!B19&lt;F86),1,0)</f>
        <v/>
      </c>
    </row>
    <row r="87">
      <c r="A87" t="n">
        <v>7</v>
      </c>
      <c r="B87" t="n">
        <v>0</v>
      </c>
      <c r="C87">
        <f>INDEX($B$13:$B$21,A87+1)</f>
        <v/>
      </c>
      <c r="D87">
        <f>INDEX(Ref_Calc!$AG$3:$AG$11,MOD(MATCH(C87,Ref_Calc!$AG$3:$AG$11,0)-1+B87,9)+1)</f>
        <v/>
      </c>
      <c r="E87" s="16">
        <f>INDEX($D$13:$D$21,A87+1)</f>
        <v/>
      </c>
      <c r="F87" s="16">
        <f>E87+INDEX($C$13:$C$21,A87+1)*INDEX(Ref_Calc!$AH$3:$AH$11,MATCH(D87,Ref_Calc!$AG$3:$AG$11,0))/120*365.25</f>
        <v/>
      </c>
      <c r="G87">
        <f>IF(AND(E87&lt;=Chart!B19,Chart!B19&lt;F87),1,0)</f>
        <v/>
      </c>
    </row>
    <row r="88">
      <c r="A88" t="n">
        <v>7</v>
      </c>
      <c r="B88" t="n">
        <v>1</v>
      </c>
      <c r="C88">
        <f>INDEX($B$13:$B$21,A88+1)</f>
        <v/>
      </c>
      <c r="D88">
        <f>INDEX(Ref_Calc!$AG$3:$AG$11,MOD(MATCH(C88,Ref_Calc!$AG$3:$AG$11,0)-1+B88,9)+1)</f>
        <v/>
      </c>
      <c r="E88" s="16">
        <f>F87</f>
        <v/>
      </c>
      <c r="F88" s="16">
        <f>E88+INDEX($C$13:$C$21,A88+1)*INDEX(Ref_Calc!$AH$3:$AH$11,MATCH(D88,Ref_Calc!$AG$3:$AG$11,0))/120*365.25</f>
        <v/>
      </c>
      <c r="G88">
        <f>IF(AND(E88&lt;=Chart!B19,Chart!B19&lt;F88),1,0)</f>
        <v/>
      </c>
    </row>
    <row r="89">
      <c r="A89" t="n">
        <v>7</v>
      </c>
      <c r="B89" t="n">
        <v>2</v>
      </c>
      <c r="C89">
        <f>INDEX($B$13:$B$21,A89+1)</f>
        <v/>
      </c>
      <c r="D89">
        <f>INDEX(Ref_Calc!$AG$3:$AG$11,MOD(MATCH(C89,Ref_Calc!$AG$3:$AG$11,0)-1+B89,9)+1)</f>
        <v/>
      </c>
      <c r="E89" s="16">
        <f>F88</f>
        <v/>
      </c>
      <c r="F89" s="16">
        <f>E89+INDEX($C$13:$C$21,A89+1)*INDEX(Ref_Calc!$AH$3:$AH$11,MATCH(D89,Ref_Calc!$AG$3:$AG$11,0))/120*365.25</f>
        <v/>
      </c>
      <c r="G89">
        <f>IF(AND(E89&lt;=Chart!B19,Chart!B19&lt;F89),1,0)</f>
        <v/>
      </c>
    </row>
    <row r="90">
      <c r="A90" t="n">
        <v>7</v>
      </c>
      <c r="B90" t="n">
        <v>3</v>
      </c>
      <c r="C90">
        <f>INDEX($B$13:$B$21,A90+1)</f>
        <v/>
      </c>
      <c r="D90">
        <f>INDEX(Ref_Calc!$AG$3:$AG$11,MOD(MATCH(C90,Ref_Calc!$AG$3:$AG$11,0)-1+B90,9)+1)</f>
        <v/>
      </c>
      <c r="E90" s="16">
        <f>F89</f>
        <v/>
      </c>
      <c r="F90" s="16">
        <f>E90+INDEX($C$13:$C$21,A90+1)*INDEX(Ref_Calc!$AH$3:$AH$11,MATCH(D90,Ref_Calc!$AG$3:$AG$11,0))/120*365.25</f>
        <v/>
      </c>
      <c r="G90">
        <f>IF(AND(E90&lt;=Chart!B19,Chart!B19&lt;F90),1,0)</f>
        <v/>
      </c>
    </row>
    <row r="91">
      <c r="A91" t="n">
        <v>7</v>
      </c>
      <c r="B91" t="n">
        <v>4</v>
      </c>
      <c r="C91">
        <f>INDEX($B$13:$B$21,A91+1)</f>
        <v/>
      </c>
      <c r="D91">
        <f>INDEX(Ref_Calc!$AG$3:$AG$11,MOD(MATCH(C91,Ref_Calc!$AG$3:$AG$11,0)-1+B91,9)+1)</f>
        <v/>
      </c>
      <c r="E91" s="16">
        <f>F90</f>
        <v/>
      </c>
      <c r="F91" s="16">
        <f>E91+INDEX($C$13:$C$21,A91+1)*INDEX(Ref_Calc!$AH$3:$AH$11,MATCH(D91,Ref_Calc!$AG$3:$AG$11,0))/120*365.25</f>
        <v/>
      </c>
      <c r="G91">
        <f>IF(AND(E91&lt;=Chart!B19,Chart!B19&lt;F91),1,0)</f>
        <v/>
      </c>
    </row>
    <row r="92">
      <c r="A92" t="n">
        <v>7</v>
      </c>
      <c r="B92" t="n">
        <v>5</v>
      </c>
      <c r="C92">
        <f>INDEX($B$13:$B$21,A92+1)</f>
        <v/>
      </c>
      <c r="D92">
        <f>INDEX(Ref_Calc!$AG$3:$AG$11,MOD(MATCH(C92,Ref_Calc!$AG$3:$AG$11,0)-1+B92,9)+1)</f>
        <v/>
      </c>
      <c r="E92" s="16">
        <f>F91</f>
        <v/>
      </c>
      <c r="F92" s="16">
        <f>E92+INDEX($C$13:$C$21,A92+1)*INDEX(Ref_Calc!$AH$3:$AH$11,MATCH(D92,Ref_Calc!$AG$3:$AG$11,0))/120*365.25</f>
        <v/>
      </c>
      <c r="G92">
        <f>IF(AND(E92&lt;=Chart!B19,Chart!B19&lt;F92),1,0)</f>
        <v/>
      </c>
    </row>
    <row r="93">
      <c r="A93" t="n">
        <v>7</v>
      </c>
      <c r="B93" t="n">
        <v>6</v>
      </c>
      <c r="C93">
        <f>INDEX($B$13:$B$21,A93+1)</f>
        <v/>
      </c>
      <c r="D93">
        <f>INDEX(Ref_Calc!$AG$3:$AG$11,MOD(MATCH(C93,Ref_Calc!$AG$3:$AG$11,0)-1+B93,9)+1)</f>
        <v/>
      </c>
      <c r="E93" s="16">
        <f>F92</f>
        <v/>
      </c>
      <c r="F93" s="16">
        <f>E93+INDEX($C$13:$C$21,A93+1)*INDEX(Ref_Calc!$AH$3:$AH$11,MATCH(D93,Ref_Calc!$AG$3:$AG$11,0))/120*365.25</f>
        <v/>
      </c>
      <c r="G93">
        <f>IF(AND(E93&lt;=Chart!B19,Chart!B19&lt;F93),1,0)</f>
        <v/>
      </c>
    </row>
    <row r="94">
      <c r="A94" t="n">
        <v>7</v>
      </c>
      <c r="B94" t="n">
        <v>7</v>
      </c>
      <c r="C94">
        <f>INDEX($B$13:$B$21,A94+1)</f>
        <v/>
      </c>
      <c r="D94">
        <f>INDEX(Ref_Calc!$AG$3:$AG$11,MOD(MATCH(C94,Ref_Calc!$AG$3:$AG$11,0)-1+B94,9)+1)</f>
        <v/>
      </c>
      <c r="E94" s="16">
        <f>F93</f>
        <v/>
      </c>
      <c r="F94" s="16">
        <f>E94+INDEX($C$13:$C$21,A94+1)*INDEX(Ref_Calc!$AH$3:$AH$11,MATCH(D94,Ref_Calc!$AG$3:$AG$11,0))/120*365.25</f>
        <v/>
      </c>
      <c r="G94">
        <f>IF(AND(E94&lt;=Chart!B19,Chart!B19&lt;F94),1,0)</f>
        <v/>
      </c>
    </row>
    <row r="95">
      <c r="A95" t="n">
        <v>7</v>
      </c>
      <c r="B95" t="n">
        <v>8</v>
      </c>
      <c r="C95">
        <f>INDEX($B$13:$B$21,A95+1)</f>
        <v/>
      </c>
      <c r="D95">
        <f>INDEX(Ref_Calc!$AG$3:$AG$11,MOD(MATCH(C95,Ref_Calc!$AG$3:$AG$11,0)-1+B95,9)+1)</f>
        <v/>
      </c>
      <c r="E95" s="16">
        <f>F94</f>
        <v/>
      </c>
      <c r="F95" s="16">
        <f>E95+INDEX($C$13:$C$21,A95+1)*INDEX(Ref_Calc!$AH$3:$AH$11,MATCH(D95,Ref_Calc!$AG$3:$AG$11,0))/120*365.25</f>
        <v/>
      </c>
      <c r="G95">
        <f>IF(AND(E95&lt;=Chart!B19,Chart!B19&lt;F95),1,0)</f>
        <v/>
      </c>
    </row>
    <row r="96">
      <c r="A96" t="n">
        <v>8</v>
      </c>
      <c r="B96" t="n">
        <v>0</v>
      </c>
      <c r="C96">
        <f>INDEX($B$13:$B$21,A96+1)</f>
        <v/>
      </c>
      <c r="D96">
        <f>INDEX(Ref_Calc!$AG$3:$AG$11,MOD(MATCH(C96,Ref_Calc!$AG$3:$AG$11,0)-1+B96,9)+1)</f>
        <v/>
      </c>
      <c r="E96" s="16">
        <f>INDEX($D$13:$D$21,A96+1)</f>
        <v/>
      </c>
      <c r="F96" s="16">
        <f>E96+INDEX($C$13:$C$21,A96+1)*INDEX(Ref_Calc!$AH$3:$AH$11,MATCH(D96,Ref_Calc!$AG$3:$AG$11,0))/120*365.25</f>
        <v/>
      </c>
      <c r="G96">
        <f>IF(AND(E96&lt;=Chart!B19,Chart!B19&lt;F96),1,0)</f>
        <v/>
      </c>
    </row>
    <row r="97">
      <c r="A97" t="n">
        <v>8</v>
      </c>
      <c r="B97" t="n">
        <v>1</v>
      </c>
      <c r="C97">
        <f>INDEX($B$13:$B$21,A97+1)</f>
        <v/>
      </c>
      <c r="D97">
        <f>INDEX(Ref_Calc!$AG$3:$AG$11,MOD(MATCH(C97,Ref_Calc!$AG$3:$AG$11,0)-1+B97,9)+1)</f>
        <v/>
      </c>
      <c r="E97" s="16">
        <f>F96</f>
        <v/>
      </c>
      <c r="F97" s="16">
        <f>E97+INDEX($C$13:$C$21,A97+1)*INDEX(Ref_Calc!$AH$3:$AH$11,MATCH(D97,Ref_Calc!$AG$3:$AG$11,0))/120*365.25</f>
        <v/>
      </c>
      <c r="G97">
        <f>IF(AND(E97&lt;=Chart!B19,Chart!B19&lt;F97),1,0)</f>
        <v/>
      </c>
    </row>
    <row r="98">
      <c r="A98" t="n">
        <v>8</v>
      </c>
      <c r="B98" t="n">
        <v>2</v>
      </c>
      <c r="C98">
        <f>INDEX($B$13:$B$21,A98+1)</f>
        <v/>
      </c>
      <c r="D98">
        <f>INDEX(Ref_Calc!$AG$3:$AG$11,MOD(MATCH(C98,Ref_Calc!$AG$3:$AG$11,0)-1+B98,9)+1)</f>
        <v/>
      </c>
      <c r="E98" s="16">
        <f>F97</f>
        <v/>
      </c>
      <c r="F98" s="16">
        <f>E98+INDEX($C$13:$C$21,A98+1)*INDEX(Ref_Calc!$AH$3:$AH$11,MATCH(D98,Ref_Calc!$AG$3:$AG$11,0))/120*365.25</f>
        <v/>
      </c>
      <c r="G98">
        <f>IF(AND(E98&lt;=Chart!B19,Chart!B19&lt;F98),1,0)</f>
        <v/>
      </c>
    </row>
    <row r="99">
      <c r="A99" t="n">
        <v>8</v>
      </c>
      <c r="B99" t="n">
        <v>3</v>
      </c>
      <c r="C99">
        <f>INDEX($B$13:$B$21,A99+1)</f>
        <v/>
      </c>
      <c r="D99">
        <f>INDEX(Ref_Calc!$AG$3:$AG$11,MOD(MATCH(C99,Ref_Calc!$AG$3:$AG$11,0)-1+B99,9)+1)</f>
        <v/>
      </c>
      <c r="E99" s="16">
        <f>F98</f>
        <v/>
      </c>
      <c r="F99" s="16">
        <f>E99+INDEX($C$13:$C$21,A99+1)*INDEX(Ref_Calc!$AH$3:$AH$11,MATCH(D99,Ref_Calc!$AG$3:$AG$11,0))/120*365.25</f>
        <v/>
      </c>
      <c r="G99">
        <f>IF(AND(E99&lt;=Chart!B19,Chart!B19&lt;F99),1,0)</f>
        <v/>
      </c>
    </row>
    <row r="100">
      <c r="A100" t="n">
        <v>8</v>
      </c>
      <c r="B100" t="n">
        <v>4</v>
      </c>
      <c r="C100">
        <f>INDEX($B$13:$B$21,A100+1)</f>
        <v/>
      </c>
      <c r="D100">
        <f>INDEX(Ref_Calc!$AG$3:$AG$11,MOD(MATCH(C100,Ref_Calc!$AG$3:$AG$11,0)-1+B100,9)+1)</f>
        <v/>
      </c>
      <c r="E100" s="16">
        <f>F99</f>
        <v/>
      </c>
      <c r="F100" s="16">
        <f>E100+INDEX($C$13:$C$21,A100+1)*INDEX(Ref_Calc!$AH$3:$AH$11,MATCH(D100,Ref_Calc!$AG$3:$AG$11,0))/120*365.25</f>
        <v/>
      </c>
      <c r="G100">
        <f>IF(AND(E100&lt;=Chart!B19,Chart!B19&lt;F100),1,0)</f>
        <v/>
      </c>
    </row>
    <row r="101">
      <c r="A101" t="n">
        <v>8</v>
      </c>
      <c r="B101" t="n">
        <v>5</v>
      </c>
      <c r="C101">
        <f>INDEX($B$13:$B$21,A101+1)</f>
        <v/>
      </c>
      <c r="D101">
        <f>INDEX(Ref_Calc!$AG$3:$AG$11,MOD(MATCH(C101,Ref_Calc!$AG$3:$AG$11,0)-1+B101,9)+1)</f>
        <v/>
      </c>
      <c r="E101" s="16">
        <f>F100</f>
        <v/>
      </c>
      <c r="F101" s="16">
        <f>E101+INDEX($C$13:$C$21,A101+1)*INDEX(Ref_Calc!$AH$3:$AH$11,MATCH(D101,Ref_Calc!$AG$3:$AG$11,0))/120*365.25</f>
        <v/>
      </c>
      <c r="G101">
        <f>IF(AND(E101&lt;=Chart!B19,Chart!B19&lt;F101),1,0)</f>
        <v/>
      </c>
    </row>
    <row r="102">
      <c r="A102" t="n">
        <v>8</v>
      </c>
      <c r="B102" t="n">
        <v>6</v>
      </c>
      <c r="C102">
        <f>INDEX($B$13:$B$21,A102+1)</f>
        <v/>
      </c>
      <c r="D102">
        <f>INDEX(Ref_Calc!$AG$3:$AG$11,MOD(MATCH(C102,Ref_Calc!$AG$3:$AG$11,0)-1+B102,9)+1)</f>
        <v/>
      </c>
      <c r="E102" s="16">
        <f>F101</f>
        <v/>
      </c>
      <c r="F102" s="16">
        <f>E102+INDEX($C$13:$C$21,A102+1)*INDEX(Ref_Calc!$AH$3:$AH$11,MATCH(D102,Ref_Calc!$AG$3:$AG$11,0))/120*365.25</f>
        <v/>
      </c>
      <c r="G102">
        <f>IF(AND(E102&lt;=Chart!B19,Chart!B19&lt;F102),1,0)</f>
        <v/>
      </c>
    </row>
    <row r="103">
      <c r="A103" t="n">
        <v>8</v>
      </c>
      <c r="B103" t="n">
        <v>7</v>
      </c>
      <c r="C103">
        <f>INDEX($B$13:$B$21,A103+1)</f>
        <v/>
      </c>
      <c r="D103">
        <f>INDEX(Ref_Calc!$AG$3:$AG$11,MOD(MATCH(C103,Ref_Calc!$AG$3:$AG$11,0)-1+B103,9)+1)</f>
        <v/>
      </c>
      <c r="E103" s="16">
        <f>F102</f>
        <v/>
      </c>
      <c r="F103" s="16">
        <f>E103+INDEX($C$13:$C$21,A103+1)*INDEX(Ref_Calc!$AH$3:$AH$11,MATCH(D103,Ref_Calc!$AG$3:$AG$11,0))/120*365.25</f>
        <v/>
      </c>
      <c r="G103">
        <f>IF(AND(E103&lt;=Chart!B19,Chart!B19&lt;F103),1,0)</f>
        <v/>
      </c>
    </row>
    <row r="104">
      <c r="A104" t="n">
        <v>8</v>
      </c>
      <c r="B104" t="n">
        <v>8</v>
      </c>
      <c r="C104">
        <f>INDEX($B$13:$B$21,A104+1)</f>
        <v/>
      </c>
      <c r="D104">
        <f>INDEX(Ref_Calc!$AG$3:$AG$11,MOD(MATCH(C104,Ref_Calc!$AG$3:$AG$11,0)-1+B104,9)+1)</f>
        <v/>
      </c>
      <c r="E104" s="16">
        <f>F103</f>
        <v/>
      </c>
      <c r="F104" s="16">
        <f>E104+INDEX($C$13:$C$21,A104+1)*INDEX(Ref_Calc!$AH$3:$AH$11,MATCH(D104,Ref_Calc!$AG$3:$AG$11,0))/120*365.25</f>
        <v/>
      </c>
      <c r="G104">
        <f>IF(AND(E104&lt;=Chart!B19,Chart!B19&lt;F104),1,0)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4"/>
  <sheetViews>
    <sheetView workbookViewId="0">
      <selection activeCell="A1" sqref="A1"/>
    </sheetView>
  </sheetViews>
  <sheetFormatPr baseColWidth="8" defaultRowHeight="15"/>
  <cols>
    <col width="12" customWidth="1" min="1" max="1"/>
    <col width="7" customWidth="1" min="2" max="2"/>
    <col width="9" customWidth="1" min="3" max="3"/>
    <col width="10" customWidth="1" min="4" max="4"/>
    <col width="60" customWidth="1" min="5" max="5"/>
    <col width="20" customWidth="1" min="6" max="6"/>
    <col width="50" customWidth="1" min="7" max="7"/>
    <col width="50" customWidth="1" min="8" max="8"/>
    <col width="28" customWidth="1" min="9" max="9"/>
    <col width="60" customWidth="1" min="10" max="10"/>
    <col width="60" customWidth="1" min="11" max="11"/>
  </cols>
  <sheetData>
    <row r="1">
      <c r="A1" s="15" t="inlineStr">
        <is>
          <t>Graha + bhāva for this chart — the text is looked up in GrahaInBhava, ClassRules, DignityEffect and Digbala</t>
        </is>
      </c>
    </row>
    <row r="2">
      <c r="A2" s="13" t="inlineStr">
        <is>
          <t>Graha</t>
        </is>
      </c>
      <c r="B2" s="13" t="inlineStr">
        <is>
          <t>House</t>
        </is>
      </c>
      <c r="C2" s="13" t="inlineStr">
        <is>
          <t>Nature</t>
        </is>
      </c>
      <c r="D2" s="13" t="inlineStr">
        <is>
          <t>Status</t>
        </is>
      </c>
      <c r="E2" s="13" t="inlineStr">
        <is>
          <t>Reading (taught / curated text)</t>
        </is>
      </c>
      <c r="F2" s="13" t="inlineStr">
        <is>
          <t>Dignity</t>
        </is>
      </c>
      <c r="G2" s="13" t="inlineStr">
        <is>
          <t>Dignity line</t>
        </is>
      </c>
      <c r="H2" s="13" t="inlineStr">
        <is>
          <t>Digbala line</t>
        </is>
      </c>
      <c r="I2" s="13" t="inlineStr">
        <is>
          <t>Classes of the house</t>
        </is>
      </c>
      <c r="J2" s="13" t="inlineStr">
        <is>
          <t>Class-rule texts</t>
        </is>
      </c>
      <c r="K2" s="13" t="inlineStr">
        <is>
          <t>Recording extra points</t>
        </is>
      </c>
      <c r="L2" s="13" t="inlineStr">
        <is>
          <t>Row in GrahaInBhava</t>
        </is>
      </c>
      <c r="M2" s="13" t="inlineStr">
        <is>
          <t>Digbala house</t>
        </is>
      </c>
      <c r="N2" s="13" t="inlineStr">
        <is>
          <t>Digbala lost</t>
        </is>
      </c>
    </row>
    <row r="3">
      <c r="A3" t="inlineStr">
        <is>
          <t>Sun</t>
        </is>
      </c>
      <c r="B3">
        <f>Chart!$E$5</f>
        <v/>
      </c>
      <c r="C3">
        <f>IF(OR($A3="Jupiter",$A3="Venus"),"benefic",IF($A3="Moon",IF(Chart!B17,"benefic","malefic"),IF($A3="Mercury",IF(OR(Chart!$D$7=Chart!$D$8,Chart!$D$11=Chart!$D$8,Chart!$D$12=Chart!$D$8,Chart!$D$13=Chart!$D$8),"malefic","benefic"),"malefic")))</f>
        <v/>
      </c>
      <c r="D3">
        <f>INDEX(GrahaInBhava!$E$1:$E$300,$L3)</f>
        <v/>
      </c>
      <c r="E3" s="3">
        <f>INDEX(GrahaInBhava!$C$1:$C$300,$L3)</f>
        <v/>
      </c>
      <c r="F3">
        <f>IF(INDEX(Ref_Calc!$R$3:$AC$3,(Chart!$D$5+1))="Exalted",IF(AND((Chart!$D$5+1)=Ref_Calc!$N$3,Chart!$C$5&gt;Ref_Calc!$K$3),IF(AND(Chart!$C$5&gt;=Ref_Calc!$O$3,Chart!$C$5&lt;=Ref_Calc!$P$3),"Own (Moolatrikona)","Own House"),IF(AND((Chart!$D$5+1)=Ref_Calc!$J$3,ABS(Chart!$C$5-Ref_Calc!$K$3)&lt;=1),"Deep Exalted","Exalted")),IF(INDEX(Ref_Calc!$R$3:$AC$3,(Chart!$D$5+1))="Debilitated",IF(AND((Chart!$D$5+1)=Ref_Calc!$L$3,ABS(Chart!$C$5-Ref_Calc!$M$3)&lt;=1),"Deep Debilitated","Debilitated"),IF(INDEX(Ref_Calc!$R$3:$AC$3,(Chart!$D$5+1))="Own (Moolatrikona)",IF(AND(Chart!$C$5&gt;=Ref_Calc!$O$3,Chart!$C$5&lt;=Ref_Calc!$P$3),"Own (Moolatrikona)","Own House"),INDEX(Ref_Calc!$R$3:$AC$3,(Chart!$D$5+1)))))</f>
        <v/>
      </c>
      <c r="G3" s="3">
        <f>IFERROR($F3&amp;": "&amp;INDEX(DignityEffect!$C$2:$C$10,MATCH($F3,DignityEffect!$A$2:$A$10,0)),"")</f>
        <v/>
      </c>
      <c r="H3" s="3">
        <f>IF($B3=$M3,$A3&amp;" gains directional strength (digbala) in the "&amp;$B3&amp;IF(AND(MOD($B3,100)&gt;=11,MOD($B3,100)&lt;=13),"th",CHOOSE(MOD($B3,10)+1,"th","st","nd","rd","th","th","th","th","th","th"))&amp;" house.",IF($B3=$N3,$A3&amp;" loses directional strength (digbala) in the "&amp;$B3&amp;IF(AND(MOD($B3,100)&gt;=11,MOD($B3,100)&lt;=13),"th",CHOOSE(MOD($B3,10)+1,"th","st","nd","rd","th","th","th","th","th","th"))&amp;" house, opposite its strongest house, the "&amp;$M3&amp;IF(AND(MOD($M3,100)&gt;=11,MOD($M3,100)&lt;=13),"th",CHOOSE(MOD($M3,10)+1,"th","st","nd","rd","th","th","th","th","th","th"))&amp;".",""))</f>
        <v/>
      </c>
      <c r="I3">
        <f>INDEX(Classes_Calc!$M$45:$M$56,$B3)</f>
        <v/>
      </c>
      <c r="J3" s="3">
        <f>MID(IF(B16=1,CHAR(10)&amp;ClassRules!$D$2,"")&amp;IF(C16=1,CHAR(10)&amp;ClassRules!$D$3,"")&amp;IF(D16=1,CHAR(10)&amp;ClassRules!$D$4,"")&amp;IF(E16=1,CHAR(10)&amp;ClassRules!$D$5,"")&amp;IF(F16=1,CHAR(10)&amp;ClassRules!$D$6,"")&amp;IF(G16=1,CHAR(10)&amp;ClassRules!$D$7,"")&amp;IF(H16=1,CHAR(10)&amp;ClassRules!$D$8,"")&amp;IF(I16=1,CHAR(10)&amp;ClassRules!$D$9,"")&amp;IF(J16=1,CHAR(10)&amp;ClassRules!$D$10,"")&amp;IF(K16=1,CHAR(10)&amp;ClassRules!$D$11,"")&amp;IF(L16=1,CHAR(10)&amp;ClassRules!$D$12,"")&amp;IF(M16=1,CHAR(10)&amp;ClassRules!$D$13,"")&amp;IF(N16=1,CHAR(10)&amp;ClassRules!$D$14,"")&amp;IF(O16=1,CHAR(10)&amp;ClassRules!$D$15,"")&amp;IF(P16=1,CHAR(10)&amp;ClassRules!$D$16,"")&amp;IF(Q16=1,CHAR(10)&amp;ClassRules!$D$17,"")&amp;IF(R16=1,CHAR(10)&amp;ClassRules!$D$18,"")&amp;IF(S16=1,CHAR(10)&amp;ClassRules!$D$19,""),2,32000)</f>
        <v/>
      </c>
      <c r="K3" s="3">
        <f>INDEX(GrahaInBhava!$D$1:$D$300,$L3)</f>
        <v/>
      </c>
      <c r="L3">
        <f>SUMPRODUCT((GrahaInBhava!$A$2:$A$300=$A3)*(GrahaInBhava!$B$2:$B$300=$B3)*ROW(GrahaInBhava!$A$2:$A$300))</f>
        <v/>
      </c>
      <c r="M3">
        <f>IFERROR(INDEX(Digbala!$B$2:$B$8,MATCH($A3,Digbala!$A$2:$A$8,0)),0)</f>
        <v/>
      </c>
      <c r="N3">
        <f>IFERROR(INDEX(Digbala!$C$2:$C$8,MATCH($A3,Digbala!$A$2:$A$8,0)),0)</f>
        <v/>
      </c>
    </row>
    <row r="4">
      <c r="A4" t="inlineStr">
        <is>
          <t>Moon</t>
        </is>
      </c>
      <c r="B4">
        <f>Chart!$E$6</f>
        <v/>
      </c>
      <c r="C4">
        <f>IF(OR($A4="Jupiter",$A4="Venus"),"benefic",IF($A4="Moon",IF(Chart!B17,"benefic","malefic"),IF($A4="Mercury",IF(OR(Chart!$D$7=Chart!$D$8,Chart!$D$11=Chart!$D$8,Chart!$D$12=Chart!$D$8,Chart!$D$13=Chart!$D$8),"malefic","benefic"),"malefic")))</f>
        <v/>
      </c>
      <c r="D4">
        <f>INDEX(GrahaInBhava!$E$1:$E$300,$L4)</f>
        <v/>
      </c>
      <c r="E4" s="3">
        <f>INDEX(GrahaInBhava!$C$1:$C$300,$L4)</f>
        <v/>
      </c>
      <c r="F4">
        <f>IF(INDEX(Ref_Calc!$R$4:$AC$4,(Chart!$D$6+1))="Exalted",IF(AND((Chart!$D$6+1)=Ref_Calc!$N$4,Chart!$C$6&gt;Ref_Calc!$K$4),IF(AND(Chart!$C$6&gt;=Ref_Calc!$O$4,Chart!$C$6&lt;=Ref_Calc!$P$4),"Own (Moolatrikona)","Own House"),IF(AND((Chart!$D$6+1)=Ref_Calc!$J$4,ABS(Chart!$C$6-Ref_Calc!$K$4)&lt;=1),"Deep Exalted","Exalted")),IF(INDEX(Ref_Calc!$R$4:$AC$4,(Chart!$D$6+1))="Debilitated",IF(AND((Chart!$D$6+1)=Ref_Calc!$L$4,ABS(Chart!$C$6-Ref_Calc!$M$4)&lt;=1),"Deep Debilitated","Debilitated"),IF(INDEX(Ref_Calc!$R$4:$AC$4,(Chart!$D$6+1))="Own (Moolatrikona)",IF(AND(Chart!$C$6&gt;=Ref_Calc!$O$4,Chart!$C$6&lt;=Ref_Calc!$P$4),"Own (Moolatrikona)","Own House"),INDEX(Ref_Calc!$R$4:$AC$4,(Chart!$D$6+1)))))</f>
        <v/>
      </c>
      <c r="G4" s="3">
        <f>IFERROR($F4&amp;": "&amp;INDEX(DignityEffect!$C$2:$C$10,MATCH($F4,DignityEffect!$A$2:$A$10,0)),"")</f>
        <v/>
      </c>
      <c r="H4" s="3">
        <f>IF($B4=$M4,$A4&amp;" gains directional strength (digbala) in the "&amp;$B4&amp;IF(AND(MOD($B4,100)&gt;=11,MOD($B4,100)&lt;=13),"th",CHOOSE(MOD($B4,10)+1,"th","st","nd","rd","th","th","th","th","th","th"))&amp;" house.",IF($B4=$N4,$A4&amp;" loses directional strength (digbala) in the "&amp;$B4&amp;IF(AND(MOD($B4,100)&gt;=11,MOD($B4,100)&lt;=13),"th",CHOOSE(MOD($B4,10)+1,"th","st","nd","rd","th","th","th","th","th","th"))&amp;" house, opposite its strongest house, the "&amp;$M4&amp;IF(AND(MOD($M4,100)&gt;=11,MOD($M4,100)&lt;=13),"th",CHOOSE(MOD($M4,10)+1,"th","st","nd","rd","th","th","th","th","th","th"))&amp;".",""))</f>
        <v/>
      </c>
      <c r="I4">
        <f>INDEX(Classes_Calc!$M$45:$M$56,$B4)</f>
        <v/>
      </c>
      <c r="J4" s="3">
        <f>MID(IF(B17=1,CHAR(10)&amp;ClassRules!$D$2,"")&amp;IF(C17=1,CHAR(10)&amp;ClassRules!$D$3,"")&amp;IF(D17=1,CHAR(10)&amp;ClassRules!$D$4,"")&amp;IF(E17=1,CHAR(10)&amp;ClassRules!$D$5,"")&amp;IF(F17=1,CHAR(10)&amp;ClassRules!$D$6,"")&amp;IF(G17=1,CHAR(10)&amp;ClassRules!$D$7,"")&amp;IF(H17=1,CHAR(10)&amp;ClassRules!$D$8,"")&amp;IF(I17=1,CHAR(10)&amp;ClassRules!$D$9,"")&amp;IF(J17=1,CHAR(10)&amp;ClassRules!$D$10,"")&amp;IF(K17=1,CHAR(10)&amp;ClassRules!$D$11,"")&amp;IF(L17=1,CHAR(10)&amp;ClassRules!$D$12,"")&amp;IF(M17=1,CHAR(10)&amp;ClassRules!$D$13,"")&amp;IF(N17=1,CHAR(10)&amp;ClassRules!$D$14,"")&amp;IF(O17=1,CHAR(10)&amp;ClassRules!$D$15,"")&amp;IF(P17=1,CHAR(10)&amp;ClassRules!$D$16,"")&amp;IF(Q17=1,CHAR(10)&amp;ClassRules!$D$17,"")&amp;IF(R17=1,CHAR(10)&amp;ClassRules!$D$18,"")&amp;IF(S17=1,CHAR(10)&amp;ClassRules!$D$19,""),2,32000)</f>
        <v/>
      </c>
      <c r="K4" s="3">
        <f>INDEX(GrahaInBhava!$D$1:$D$300,$L4)</f>
        <v/>
      </c>
      <c r="L4">
        <f>SUMPRODUCT((GrahaInBhava!$A$2:$A$300=$A4)*(GrahaInBhava!$B$2:$B$300=$B4)*ROW(GrahaInBhava!$A$2:$A$300))</f>
        <v/>
      </c>
      <c r="M4">
        <f>IFERROR(INDEX(Digbala!$B$2:$B$8,MATCH($A4,Digbala!$A$2:$A$8,0)),0)</f>
        <v/>
      </c>
      <c r="N4">
        <f>IFERROR(INDEX(Digbala!$C$2:$C$8,MATCH($A4,Digbala!$A$2:$A$8,0)),0)</f>
        <v/>
      </c>
    </row>
    <row r="5">
      <c r="A5" t="inlineStr">
        <is>
          <t>Mars</t>
        </is>
      </c>
      <c r="B5">
        <f>Chart!$E$7</f>
        <v/>
      </c>
      <c r="C5">
        <f>IF(OR($A5="Jupiter",$A5="Venus"),"benefic",IF($A5="Moon",IF(Chart!B17,"benefic","malefic"),IF($A5="Mercury",IF(OR(Chart!$D$7=Chart!$D$8,Chart!$D$11=Chart!$D$8,Chart!$D$12=Chart!$D$8,Chart!$D$13=Chart!$D$8),"malefic","benefic"),"malefic")))</f>
        <v/>
      </c>
      <c r="D5">
        <f>INDEX(GrahaInBhava!$E$1:$E$300,$L5)</f>
        <v/>
      </c>
      <c r="E5" s="3">
        <f>INDEX(GrahaInBhava!$C$1:$C$300,$L5)</f>
        <v/>
      </c>
      <c r="F5">
        <f>IF(INDEX(Ref_Calc!$R$5:$AC$5,(Chart!$D$7+1))="Exalted",IF(AND((Chart!$D$7+1)=Ref_Calc!$N$5,Chart!$C$7&gt;Ref_Calc!$K$5),IF(AND(Chart!$C$7&gt;=Ref_Calc!$O$5,Chart!$C$7&lt;=Ref_Calc!$P$5),"Own (Moolatrikona)","Own House"),IF(AND((Chart!$D$7+1)=Ref_Calc!$J$5,ABS(Chart!$C$7-Ref_Calc!$K$5)&lt;=1),"Deep Exalted","Exalted")),IF(INDEX(Ref_Calc!$R$5:$AC$5,(Chart!$D$7+1))="Debilitated",IF(AND((Chart!$D$7+1)=Ref_Calc!$L$5,ABS(Chart!$C$7-Ref_Calc!$M$5)&lt;=1),"Deep Debilitated","Debilitated"),IF(INDEX(Ref_Calc!$R$5:$AC$5,(Chart!$D$7+1))="Own (Moolatrikona)",IF(AND(Chart!$C$7&gt;=Ref_Calc!$O$5,Chart!$C$7&lt;=Ref_Calc!$P$5),"Own (Moolatrikona)","Own House"),INDEX(Ref_Calc!$R$5:$AC$5,(Chart!$D$7+1)))))</f>
        <v/>
      </c>
      <c r="G5" s="3">
        <f>IFERROR($F5&amp;": "&amp;INDEX(DignityEffect!$C$2:$C$10,MATCH($F5,DignityEffect!$A$2:$A$10,0)),"")</f>
        <v/>
      </c>
      <c r="H5" s="3">
        <f>IF($B5=$M5,$A5&amp;" gains directional strength (digbala) in the "&amp;$B5&amp;IF(AND(MOD($B5,100)&gt;=11,MOD($B5,100)&lt;=13),"th",CHOOSE(MOD($B5,10)+1,"th","st","nd","rd","th","th","th","th","th","th"))&amp;" house.",IF($B5=$N5,$A5&amp;" loses directional strength (digbala) in the "&amp;$B5&amp;IF(AND(MOD($B5,100)&gt;=11,MOD($B5,100)&lt;=13),"th",CHOOSE(MOD($B5,10)+1,"th","st","nd","rd","th","th","th","th","th","th"))&amp;" house, opposite its strongest house, the "&amp;$M5&amp;IF(AND(MOD($M5,100)&gt;=11,MOD($M5,100)&lt;=13),"th",CHOOSE(MOD($M5,10)+1,"th","st","nd","rd","th","th","th","th","th","th"))&amp;".",""))</f>
        <v/>
      </c>
      <c r="I5">
        <f>INDEX(Classes_Calc!$M$45:$M$56,$B5)</f>
        <v/>
      </c>
      <c r="J5" s="3">
        <f>MID(IF(B18=1,CHAR(10)&amp;ClassRules!$D$2,"")&amp;IF(C18=1,CHAR(10)&amp;ClassRules!$D$3,"")&amp;IF(D18=1,CHAR(10)&amp;ClassRules!$D$4,"")&amp;IF(E18=1,CHAR(10)&amp;ClassRules!$D$5,"")&amp;IF(F18=1,CHAR(10)&amp;ClassRules!$D$6,"")&amp;IF(G18=1,CHAR(10)&amp;ClassRules!$D$7,"")&amp;IF(H18=1,CHAR(10)&amp;ClassRules!$D$8,"")&amp;IF(I18=1,CHAR(10)&amp;ClassRules!$D$9,"")&amp;IF(J18=1,CHAR(10)&amp;ClassRules!$D$10,"")&amp;IF(K18=1,CHAR(10)&amp;ClassRules!$D$11,"")&amp;IF(L18=1,CHAR(10)&amp;ClassRules!$D$12,"")&amp;IF(M18=1,CHAR(10)&amp;ClassRules!$D$13,"")&amp;IF(N18=1,CHAR(10)&amp;ClassRules!$D$14,"")&amp;IF(O18=1,CHAR(10)&amp;ClassRules!$D$15,"")&amp;IF(P18=1,CHAR(10)&amp;ClassRules!$D$16,"")&amp;IF(Q18=1,CHAR(10)&amp;ClassRules!$D$17,"")&amp;IF(R18=1,CHAR(10)&amp;ClassRules!$D$18,"")&amp;IF(S18=1,CHAR(10)&amp;ClassRules!$D$19,""),2,32000)</f>
        <v/>
      </c>
      <c r="K5" s="3">
        <f>INDEX(GrahaInBhava!$D$1:$D$300,$L5)</f>
        <v/>
      </c>
      <c r="L5">
        <f>SUMPRODUCT((GrahaInBhava!$A$2:$A$300=$A5)*(GrahaInBhava!$B$2:$B$300=$B5)*ROW(GrahaInBhava!$A$2:$A$300))</f>
        <v/>
      </c>
      <c r="M5">
        <f>IFERROR(INDEX(Digbala!$B$2:$B$8,MATCH($A5,Digbala!$A$2:$A$8,0)),0)</f>
        <v/>
      </c>
      <c r="N5">
        <f>IFERROR(INDEX(Digbala!$C$2:$C$8,MATCH($A5,Digbala!$A$2:$A$8,0)),0)</f>
        <v/>
      </c>
    </row>
    <row r="6">
      <c r="A6" t="inlineStr">
        <is>
          <t>Mercury</t>
        </is>
      </c>
      <c r="B6">
        <f>Chart!$E$8</f>
        <v/>
      </c>
      <c r="C6">
        <f>IF(OR($A6="Jupiter",$A6="Venus"),"benefic",IF($A6="Moon",IF(Chart!B17,"benefic","malefic"),IF($A6="Mercury",IF(OR(Chart!$D$7=Chart!$D$8,Chart!$D$11=Chart!$D$8,Chart!$D$12=Chart!$D$8,Chart!$D$13=Chart!$D$8),"malefic","benefic"),"malefic")))</f>
        <v/>
      </c>
      <c r="D6">
        <f>INDEX(GrahaInBhava!$E$1:$E$300,$L6)</f>
        <v/>
      </c>
      <c r="E6" s="3">
        <f>INDEX(GrahaInBhava!$C$1:$C$300,$L6)</f>
        <v/>
      </c>
      <c r="F6">
        <f>IF(INDEX(Ref_Calc!$R$6:$AC$6,(Chart!$D$8+1))="Exalted",IF(AND((Chart!$D$8+1)=Ref_Calc!$N$6,Chart!$C$8&gt;Ref_Calc!$K$6),IF(AND(Chart!$C$8&gt;=Ref_Calc!$O$6,Chart!$C$8&lt;=Ref_Calc!$P$6),"Own (Moolatrikona)","Own House"),IF(AND((Chart!$D$8+1)=Ref_Calc!$J$6,ABS(Chart!$C$8-Ref_Calc!$K$6)&lt;=1),"Deep Exalted","Exalted")),IF(INDEX(Ref_Calc!$R$6:$AC$6,(Chart!$D$8+1))="Debilitated",IF(AND((Chart!$D$8+1)=Ref_Calc!$L$6,ABS(Chart!$C$8-Ref_Calc!$M$6)&lt;=1),"Deep Debilitated","Debilitated"),IF(INDEX(Ref_Calc!$R$6:$AC$6,(Chart!$D$8+1))="Own (Moolatrikona)",IF(AND(Chart!$C$8&gt;=Ref_Calc!$O$6,Chart!$C$8&lt;=Ref_Calc!$P$6),"Own (Moolatrikona)","Own House"),INDEX(Ref_Calc!$R$6:$AC$6,(Chart!$D$8+1)))))</f>
        <v/>
      </c>
      <c r="G6" s="3">
        <f>IFERROR($F6&amp;": "&amp;INDEX(DignityEffect!$C$2:$C$10,MATCH($F6,DignityEffect!$A$2:$A$10,0)),"")</f>
        <v/>
      </c>
      <c r="H6" s="3">
        <f>IF($B6=$M6,$A6&amp;" gains directional strength (digbala) in the "&amp;$B6&amp;IF(AND(MOD($B6,100)&gt;=11,MOD($B6,100)&lt;=13),"th",CHOOSE(MOD($B6,10)+1,"th","st","nd","rd","th","th","th","th","th","th"))&amp;" house.",IF($B6=$N6,$A6&amp;" loses directional strength (digbala) in the "&amp;$B6&amp;IF(AND(MOD($B6,100)&gt;=11,MOD($B6,100)&lt;=13),"th",CHOOSE(MOD($B6,10)+1,"th","st","nd","rd","th","th","th","th","th","th"))&amp;" house, opposite its strongest house, the "&amp;$M6&amp;IF(AND(MOD($M6,100)&gt;=11,MOD($M6,100)&lt;=13),"th",CHOOSE(MOD($M6,10)+1,"th","st","nd","rd","th","th","th","th","th","th"))&amp;".",""))</f>
        <v/>
      </c>
      <c r="I6">
        <f>INDEX(Classes_Calc!$M$45:$M$56,$B6)</f>
        <v/>
      </c>
      <c r="J6" s="3">
        <f>MID(IF(B19=1,CHAR(10)&amp;ClassRules!$D$2,"")&amp;IF(C19=1,CHAR(10)&amp;ClassRules!$D$3,"")&amp;IF(D19=1,CHAR(10)&amp;ClassRules!$D$4,"")&amp;IF(E19=1,CHAR(10)&amp;ClassRules!$D$5,"")&amp;IF(F19=1,CHAR(10)&amp;ClassRules!$D$6,"")&amp;IF(G19=1,CHAR(10)&amp;ClassRules!$D$7,"")&amp;IF(H19=1,CHAR(10)&amp;ClassRules!$D$8,"")&amp;IF(I19=1,CHAR(10)&amp;ClassRules!$D$9,"")&amp;IF(J19=1,CHAR(10)&amp;ClassRules!$D$10,"")&amp;IF(K19=1,CHAR(10)&amp;ClassRules!$D$11,"")&amp;IF(L19=1,CHAR(10)&amp;ClassRules!$D$12,"")&amp;IF(M19=1,CHAR(10)&amp;ClassRules!$D$13,"")&amp;IF(N19=1,CHAR(10)&amp;ClassRules!$D$14,"")&amp;IF(O19=1,CHAR(10)&amp;ClassRules!$D$15,"")&amp;IF(P19=1,CHAR(10)&amp;ClassRules!$D$16,"")&amp;IF(Q19=1,CHAR(10)&amp;ClassRules!$D$17,"")&amp;IF(R19=1,CHAR(10)&amp;ClassRules!$D$18,"")&amp;IF(S19=1,CHAR(10)&amp;ClassRules!$D$19,""),2,32000)</f>
        <v/>
      </c>
      <c r="K6" s="3">
        <f>INDEX(GrahaInBhava!$D$1:$D$300,$L6)</f>
        <v/>
      </c>
      <c r="L6">
        <f>SUMPRODUCT((GrahaInBhava!$A$2:$A$300=$A6)*(GrahaInBhava!$B$2:$B$300=$B6)*ROW(GrahaInBhava!$A$2:$A$300))</f>
        <v/>
      </c>
      <c r="M6">
        <f>IFERROR(INDEX(Digbala!$B$2:$B$8,MATCH($A6,Digbala!$A$2:$A$8,0)),0)</f>
        <v/>
      </c>
      <c r="N6">
        <f>IFERROR(INDEX(Digbala!$C$2:$C$8,MATCH($A6,Digbala!$A$2:$A$8,0)),0)</f>
        <v/>
      </c>
    </row>
    <row r="7">
      <c r="A7" t="inlineStr">
        <is>
          <t>Jupiter</t>
        </is>
      </c>
      <c r="B7">
        <f>Chart!$E$9</f>
        <v/>
      </c>
      <c r="C7">
        <f>IF(OR($A7="Jupiter",$A7="Venus"),"benefic",IF($A7="Moon",IF(Chart!B17,"benefic","malefic"),IF($A7="Mercury",IF(OR(Chart!$D$7=Chart!$D$8,Chart!$D$11=Chart!$D$8,Chart!$D$12=Chart!$D$8,Chart!$D$13=Chart!$D$8),"malefic","benefic"),"malefic")))</f>
        <v/>
      </c>
      <c r="D7">
        <f>INDEX(GrahaInBhava!$E$1:$E$300,$L7)</f>
        <v/>
      </c>
      <c r="E7" s="3">
        <f>INDEX(GrahaInBhava!$C$1:$C$300,$L7)</f>
        <v/>
      </c>
      <c r="F7">
        <f>IF(INDEX(Ref_Calc!$R$7:$AC$7,(Chart!$D$9+1))="Exalted",IF(AND((Chart!$D$9+1)=Ref_Calc!$N$7,Chart!$C$9&gt;Ref_Calc!$K$7),IF(AND(Chart!$C$9&gt;=Ref_Calc!$O$7,Chart!$C$9&lt;=Ref_Calc!$P$7),"Own (Moolatrikona)","Own House"),IF(AND((Chart!$D$9+1)=Ref_Calc!$J$7,ABS(Chart!$C$9-Ref_Calc!$K$7)&lt;=1),"Deep Exalted","Exalted")),IF(INDEX(Ref_Calc!$R$7:$AC$7,(Chart!$D$9+1))="Debilitated",IF(AND((Chart!$D$9+1)=Ref_Calc!$L$7,ABS(Chart!$C$9-Ref_Calc!$M$7)&lt;=1),"Deep Debilitated","Debilitated"),IF(INDEX(Ref_Calc!$R$7:$AC$7,(Chart!$D$9+1))="Own (Moolatrikona)",IF(AND(Chart!$C$9&gt;=Ref_Calc!$O$7,Chart!$C$9&lt;=Ref_Calc!$P$7),"Own (Moolatrikona)","Own House"),INDEX(Ref_Calc!$R$7:$AC$7,(Chart!$D$9+1)))))</f>
        <v/>
      </c>
      <c r="G7" s="3">
        <f>IFERROR($F7&amp;": "&amp;INDEX(DignityEffect!$C$2:$C$10,MATCH($F7,DignityEffect!$A$2:$A$10,0)),"")</f>
        <v/>
      </c>
      <c r="H7" s="3">
        <f>IF($B7=$M7,$A7&amp;" gains directional strength (digbala) in the "&amp;$B7&amp;IF(AND(MOD($B7,100)&gt;=11,MOD($B7,100)&lt;=13),"th",CHOOSE(MOD($B7,10)+1,"th","st","nd","rd","th","th","th","th","th","th"))&amp;" house.",IF($B7=$N7,$A7&amp;" loses directional strength (digbala) in the "&amp;$B7&amp;IF(AND(MOD($B7,100)&gt;=11,MOD($B7,100)&lt;=13),"th",CHOOSE(MOD($B7,10)+1,"th","st","nd","rd","th","th","th","th","th","th"))&amp;" house, opposite its strongest house, the "&amp;$M7&amp;IF(AND(MOD($M7,100)&gt;=11,MOD($M7,100)&lt;=13),"th",CHOOSE(MOD($M7,10)+1,"th","st","nd","rd","th","th","th","th","th","th"))&amp;".",""))</f>
        <v/>
      </c>
      <c r="I7">
        <f>INDEX(Classes_Calc!$M$45:$M$56,$B7)</f>
        <v/>
      </c>
      <c r="J7" s="3">
        <f>MID(IF(B20=1,CHAR(10)&amp;ClassRules!$D$2,"")&amp;IF(C20=1,CHAR(10)&amp;ClassRules!$D$3,"")&amp;IF(D20=1,CHAR(10)&amp;ClassRules!$D$4,"")&amp;IF(E20=1,CHAR(10)&amp;ClassRules!$D$5,"")&amp;IF(F20=1,CHAR(10)&amp;ClassRules!$D$6,"")&amp;IF(G20=1,CHAR(10)&amp;ClassRules!$D$7,"")&amp;IF(H20=1,CHAR(10)&amp;ClassRules!$D$8,"")&amp;IF(I20=1,CHAR(10)&amp;ClassRules!$D$9,"")&amp;IF(J20=1,CHAR(10)&amp;ClassRules!$D$10,"")&amp;IF(K20=1,CHAR(10)&amp;ClassRules!$D$11,"")&amp;IF(L20=1,CHAR(10)&amp;ClassRules!$D$12,"")&amp;IF(M20=1,CHAR(10)&amp;ClassRules!$D$13,"")&amp;IF(N20=1,CHAR(10)&amp;ClassRules!$D$14,"")&amp;IF(O20=1,CHAR(10)&amp;ClassRules!$D$15,"")&amp;IF(P20=1,CHAR(10)&amp;ClassRules!$D$16,"")&amp;IF(Q20=1,CHAR(10)&amp;ClassRules!$D$17,"")&amp;IF(R20=1,CHAR(10)&amp;ClassRules!$D$18,"")&amp;IF(S20=1,CHAR(10)&amp;ClassRules!$D$19,""),2,32000)</f>
        <v/>
      </c>
      <c r="K7" s="3">
        <f>INDEX(GrahaInBhava!$D$1:$D$300,$L7)</f>
        <v/>
      </c>
      <c r="L7">
        <f>SUMPRODUCT((GrahaInBhava!$A$2:$A$300=$A7)*(GrahaInBhava!$B$2:$B$300=$B7)*ROW(GrahaInBhava!$A$2:$A$300))</f>
        <v/>
      </c>
      <c r="M7">
        <f>IFERROR(INDEX(Digbala!$B$2:$B$8,MATCH($A7,Digbala!$A$2:$A$8,0)),0)</f>
        <v/>
      </c>
      <c r="N7">
        <f>IFERROR(INDEX(Digbala!$C$2:$C$8,MATCH($A7,Digbala!$A$2:$A$8,0)),0)</f>
        <v/>
      </c>
    </row>
    <row r="8">
      <c r="A8" t="inlineStr">
        <is>
          <t>Venus</t>
        </is>
      </c>
      <c r="B8">
        <f>Chart!$E$10</f>
        <v/>
      </c>
      <c r="C8">
        <f>IF(OR($A8="Jupiter",$A8="Venus"),"benefic",IF($A8="Moon",IF(Chart!B17,"benefic","malefic"),IF($A8="Mercury",IF(OR(Chart!$D$7=Chart!$D$8,Chart!$D$11=Chart!$D$8,Chart!$D$12=Chart!$D$8,Chart!$D$13=Chart!$D$8),"malefic","benefic"),"malefic")))</f>
        <v/>
      </c>
      <c r="D8">
        <f>INDEX(GrahaInBhava!$E$1:$E$300,$L8)</f>
        <v/>
      </c>
      <c r="E8" s="3">
        <f>INDEX(GrahaInBhava!$C$1:$C$300,$L8)</f>
        <v/>
      </c>
      <c r="F8">
        <f>IF(INDEX(Ref_Calc!$R$8:$AC$8,(Chart!$D$10+1))="Exalted",IF(AND((Chart!$D$10+1)=Ref_Calc!$N$8,Chart!$C$10&gt;Ref_Calc!$K$8),IF(AND(Chart!$C$10&gt;=Ref_Calc!$O$8,Chart!$C$10&lt;=Ref_Calc!$P$8),"Own (Moolatrikona)","Own House"),IF(AND((Chart!$D$10+1)=Ref_Calc!$J$8,ABS(Chart!$C$10-Ref_Calc!$K$8)&lt;=1),"Deep Exalted","Exalted")),IF(INDEX(Ref_Calc!$R$8:$AC$8,(Chart!$D$10+1))="Debilitated",IF(AND((Chart!$D$10+1)=Ref_Calc!$L$8,ABS(Chart!$C$10-Ref_Calc!$M$8)&lt;=1),"Deep Debilitated","Debilitated"),IF(INDEX(Ref_Calc!$R$8:$AC$8,(Chart!$D$10+1))="Own (Moolatrikona)",IF(AND(Chart!$C$10&gt;=Ref_Calc!$O$8,Chart!$C$10&lt;=Ref_Calc!$P$8),"Own (Moolatrikona)","Own House"),INDEX(Ref_Calc!$R$8:$AC$8,(Chart!$D$10+1)))))</f>
        <v/>
      </c>
      <c r="G8" s="3">
        <f>IFERROR($F8&amp;": "&amp;INDEX(DignityEffect!$C$2:$C$10,MATCH($F8,DignityEffect!$A$2:$A$10,0)),"")</f>
        <v/>
      </c>
      <c r="H8" s="3">
        <f>IF($B8=$M8,$A8&amp;" gains directional strength (digbala) in the "&amp;$B8&amp;IF(AND(MOD($B8,100)&gt;=11,MOD($B8,100)&lt;=13),"th",CHOOSE(MOD($B8,10)+1,"th","st","nd","rd","th","th","th","th","th","th"))&amp;" house.",IF($B8=$N8,$A8&amp;" loses directional strength (digbala) in the "&amp;$B8&amp;IF(AND(MOD($B8,100)&gt;=11,MOD($B8,100)&lt;=13),"th",CHOOSE(MOD($B8,10)+1,"th","st","nd","rd","th","th","th","th","th","th"))&amp;" house, opposite its strongest house, the "&amp;$M8&amp;IF(AND(MOD($M8,100)&gt;=11,MOD($M8,100)&lt;=13),"th",CHOOSE(MOD($M8,10)+1,"th","st","nd","rd","th","th","th","th","th","th"))&amp;".",""))</f>
        <v/>
      </c>
      <c r="I8">
        <f>INDEX(Classes_Calc!$M$45:$M$56,$B8)</f>
        <v/>
      </c>
      <c r="J8" s="3">
        <f>MID(IF(B21=1,CHAR(10)&amp;ClassRules!$D$2,"")&amp;IF(C21=1,CHAR(10)&amp;ClassRules!$D$3,"")&amp;IF(D21=1,CHAR(10)&amp;ClassRules!$D$4,"")&amp;IF(E21=1,CHAR(10)&amp;ClassRules!$D$5,"")&amp;IF(F21=1,CHAR(10)&amp;ClassRules!$D$6,"")&amp;IF(G21=1,CHAR(10)&amp;ClassRules!$D$7,"")&amp;IF(H21=1,CHAR(10)&amp;ClassRules!$D$8,"")&amp;IF(I21=1,CHAR(10)&amp;ClassRules!$D$9,"")&amp;IF(J21=1,CHAR(10)&amp;ClassRules!$D$10,"")&amp;IF(K21=1,CHAR(10)&amp;ClassRules!$D$11,"")&amp;IF(L21=1,CHAR(10)&amp;ClassRules!$D$12,"")&amp;IF(M21=1,CHAR(10)&amp;ClassRules!$D$13,"")&amp;IF(N21=1,CHAR(10)&amp;ClassRules!$D$14,"")&amp;IF(O21=1,CHAR(10)&amp;ClassRules!$D$15,"")&amp;IF(P21=1,CHAR(10)&amp;ClassRules!$D$16,"")&amp;IF(Q21=1,CHAR(10)&amp;ClassRules!$D$17,"")&amp;IF(R21=1,CHAR(10)&amp;ClassRules!$D$18,"")&amp;IF(S21=1,CHAR(10)&amp;ClassRules!$D$19,""),2,32000)</f>
        <v/>
      </c>
      <c r="K8" s="3">
        <f>INDEX(GrahaInBhava!$D$1:$D$300,$L8)</f>
        <v/>
      </c>
      <c r="L8">
        <f>SUMPRODUCT((GrahaInBhava!$A$2:$A$300=$A8)*(GrahaInBhava!$B$2:$B$300=$B8)*ROW(GrahaInBhava!$A$2:$A$300))</f>
        <v/>
      </c>
      <c r="M8">
        <f>IFERROR(INDEX(Digbala!$B$2:$B$8,MATCH($A8,Digbala!$A$2:$A$8,0)),0)</f>
        <v/>
      </c>
      <c r="N8">
        <f>IFERROR(INDEX(Digbala!$C$2:$C$8,MATCH($A8,Digbala!$A$2:$A$8,0)),0)</f>
        <v/>
      </c>
    </row>
    <row r="9">
      <c r="A9" t="inlineStr">
        <is>
          <t>Saturn</t>
        </is>
      </c>
      <c r="B9">
        <f>Chart!$E$11</f>
        <v/>
      </c>
      <c r="C9">
        <f>IF(OR($A9="Jupiter",$A9="Venus"),"benefic",IF($A9="Moon",IF(Chart!B17,"benefic","malefic"),IF($A9="Mercury",IF(OR(Chart!$D$7=Chart!$D$8,Chart!$D$11=Chart!$D$8,Chart!$D$12=Chart!$D$8,Chart!$D$13=Chart!$D$8),"malefic","benefic"),"malefic")))</f>
        <v/>
      </c>
      <c r="D9">
        <f>INDEX(GrahaInBhava!$E$1:$E$300,$L9)</f>
        <v/>
      </c>
      <c r="E9" s="3">
        <f>INDEX(GrahaInBhava!$C$1:$C$300,$L9)</f>
        <v/>
      </c>
      <c r="F9">
        <f>IF(INDEX(Ref_Calc!$R$9:$AC$9,(Chart!$D$11+1))="Exalted",IF(AND((Chart!$D$11+1)=Ref_Calc!$N$9,Chart!$C$11&gt;Ref_Calc!$K$9),IF(AND(Chart!$C$11&gt;=Ref_Calc!$O$9,Chart!$C$11&lt;=Ref_Calc!$P$9),"Own (Moolatrikona)","Own House"),IF(AND((Chart!$D$11+1)=Ref_Calc!$J$9,ABS(Chart!$C$11-Ref_Calc!$K$9)&lt;=1),"Deep Exalted","Exalted")),IF(INDEX(Ref_Calc!$R$9:$AC$9,(Chart!$D$11+1))="Debilitated",IF(AND((Chart!$D$11+1)=Ref_Calc!$L$9,ABS(Chart!$C$11-Ref_Calc!$M$9)&lt;=1),"Deep Debilitated","Debilitated"),IF(INDEX(Ref_Calc!$R$9:$AC$9,(Chart!$D$11+1))="Own (Moolatrikona)",IF(AND(Chart!$C$11&gt;=Ref_Calc!$O$9,Chart!$C$11&lt;=Ref_Calc!$P$9),"Own (Moolatrikona)","Own House"),INDEX(Ref_Calc!$R$9:$AC$9,(Chart!$D$11+1)))))</f>
        <v/>
      </c>
      <c r="G9" s="3">
        <f>IFERROR($F9&amp;": "&amp;INDEX(DignityEffect!$C$2:$C$10,MATCH($F9,DignityEffect!$A$2:$A$10,0)),"")</f>
        <v/>
      </c>
      <c r="H9" s="3">
        <f>IF($B9=$M9,$A9&amp;" gains directional strength (digbala) in the "&amp;$B9&amp;IF(AND(MOD($B9,100)&gt;=11,MOD($B9,100)&lt;=13),"th",CHOOSE(MOD($B9,10)+1,"th","st","nd","rd","th","th","th","th","th","th"))&amp;" house.",IF($B9=$N9,$A9&amp;" loses directional strength (digbala) in the "&amp;$B9&amp;IF(AND(MOD($B9,100)&gt;=11,MOD($B9,100)&lt;=13),"th",CHOOSE(MOD($B9,10)+1,"th","st","nd","rd","th","th","th","th","th","th"))&amp;" house, opposite its strongest house, the "&amp;$M9&amp;IF(AND(MOD($M9,100)&gt;=11,MOD($M9,100)&lt;=13),"th",CHOOSE(MOD($M9,10)+1,"th","st","nd","rd","th","th","th","th","th","th"))&amp;".",""))</f>
        <v/>
      </c>
      <c r="I9">
        <f>INDEX(Classes_Calc!$M$45:$M$56,$B9)</f>
        <v/>
      </c>
      <c r="J9" s="3">
        <f>MID(IF(B22=1,CHAR(10)&amp;ClassRules!$D$2,"")&amp;IF(C22=1,CHAR(10)&amp;ClassRules!$D$3,"")&amp;IF(D22=1,CHAR(10)&amp;ClassRules!$D$4,"")&amp;IF(E22=1,CHAR(10)&amp;ClassRules!$D$5,"")&amp;IF(F22=1,CHAR(10)&amp;ClassRules!$D$6,"")&amp;IF(G22=1,CHAR(10)&amp;ClassRules!$D$7,"")&amp;IF(H22=1,CHAR(10)&amp;ClassRules!$D$8,"")&amp;IF(I22=1,CHAR(10)&amp;ClassRules!$D$9,"")&amp;IF(J22=1,CHAR(10)&amp;ClassRules!$D$10,"")&amp;IF(K22=1,CHAR(10)&amp;ClassRules!$D$11,"")&amp;IF(L22=1,CHAR(10)&amp;ClassRules!$D$12,"")&amp;IF(M22=1,CHAR(10)&amp;ClassRules!$D$13,"")&amp;IF(N22=1,CHAR(10)&amp;ClassRules!$D$14,"")&amp;IF(O22=1,CHAR(10)&amp;ClassRules!$D$15,"")&amp;IF(P22=1,CHAR(10)&amp;ClassRules!$D$16,"")&amp;IF(Q22=1,CHAR(10)&amp;ClassRules!$D$17,"")&amp;IF(R22=1,CHAR(10)&amp;ClassRules!$D$18,"")&amp;IF(S22=1,CHAR(10)&amp;ClassRules!$D$19,""),2,32000)</f>
        <v/>
      </c>
      <c r="K9" s="3">
        <f>INDEX(GrahaInBhava!$D$1:$D$300,$L9)</f>
        <v/>
      </c>
      <c r="L9">
        <f>SUMPRODUCT((GrahaInBhava!$A$2:$A$300=$A9)*(GrahaInBhava!$B$2:$B$300=$B9)*ROW(GrahaInBhava!$A$2:$A$300))</f>
        <v/>
      </c>
      <c r="M9">
        <f>IFERROR(INDEX(Digbala!$B$2:$B$8,MATCH($A9,Digbala!$A$2:$A$8,0)),0)</f>
        <v/>
      </c>
      <c r="N9">
        <f>IFERROR(INDEX(Digbala!$C$2:$C$8,MATCH($A9,Digbala!$A$2:$A$8,0)),0)</f>
        <v/>
      </c>
    </row>
    <row r="10">
      <c r="A10" t="inlineStr">
        <is>
          <t>Rahu</t>
        </is>
      </c>
      <c r="B10">
        <f>Chart!$E$12</f>
        <v/>
      </c>
      <c r="C10">
        <f>IF(OR($A10="Jupiter",$A10="Venus"),"benefic",IF($A10="Moon",IF(Chart!B17,"benefic","malefic"),IF($A10="Mercury",IF(OR(Chart!$D$7=Chart!$D$8,Chart!$D$11=Chart!$D$8,Chart!$D$12=Chart!$D$8,Chart!$D$13=Chart!$D$8),"malefic","benefic"),"malefic")))</f>
        <v/>
      </c>
      <c r="D10">
        <f>INDEX(GrahaInBhava!$E$1:$E$300,$L10)</f>
        <v/>
      </c>
      <c r="E10" s="3">
        <f>INDEX(GrahaInBhava!$C$1:$C$300,$L10)</f>
        <v/>
      </c>
      <c r="F10">
        <f>IF(INDEX(Ref_Calc!$R$10:$AC$10,(Chart!$D$12+1))="Exalted",IF(AND((Chart!$D$12+1)=Ref_Calc!$N$10,Chart!$C$12&gt;Ref_Calc!$K$10),IF(AND(Chart!$C$12&gt;=Ref_Calc!$O$10,Chart!$C$12&lt;=Ref_Calc!$P$10),"Own (Moolatrikona)","Own House"),IF(AND((Chart!$D$12+1)=Ref_Calc!$J$10,ABS(Chart!$C$12-Ref_Calc!$K$10)&lt;=1),"Deep Exalted","Exalted")),IF(INDEX(Ref_Calc!$R$10:$AC$10,(Chart!$D$12+1))="Debilitated",IF(AND((Chart!$D$12+1)=Ref_Calc!$L$10,ABS(Chart!$C$12-Ref_Calc!$M$10)&lt;=1),"Deep Debilitated","Debilitated"),IF(INDEX(Ref_Calc!$R$10:$AC$10,(Chart!$D$12+1))="Own (Moolatrikona)",IF(AND(Chart!$C$12&gt;=Ref_Calc!$O$10,Chart!$C$12&lt;=Ref_Calc!$P$10),"Own (Moolatrikona)","Own House"),INDEX(Ref_Calc!$R$10:$AC$10,(Chart!$D$12+1)))))</f>
        <v/>
      </c>
      <c r="G10" s="3">
        <f>IFERROR($F10&amp;": "&amp;INDEX(DignityEffect!$C$2:$C$10,MATCH($F10,DignityEffect!$A$2:$A$10,0)),"")</f>
        <v/>
      </c>
      <c r="H10" s="3">
        <f>IF($B10=$M10,$A10&amp;" gains directional strength (digbala) in the "&amp;$B10&amp;IF(AND(MOD($B10,100)&gt;=11,MOD($B10,100)&lt;=13),"th",CHOOSE(MOD($B10,10)+1,"th","st","nd","rd","th","th","th","th","th","th"))&amp;" house.",IF($B10=$N10,$A10&amp;" loses directional strength (digbala) in the "&amp;$B10&amp;IF(AND(MOD($B10,100)&gt;=11,MOD($B10,100)&lt;=13),"th",CHOOSE(MOD($B10,10)+1,"th","st","nd","rd","th","th","th","th","th","th"))&amp;" house, opposite its strongest house, the "&amp;$M10&amp;IF(AND(MOD($M10,100)&gt;=11,MOD($M10,100)&lt;=13),"th",CHOOSE(MOD($M10,10)+1,"th","st","nd","rd","th","th","th","th","th","th"))&amp;".",""))</f>
        <v/>
      </c>
      <c r="I10">
        <f>INDEX(Classes_Calc!$M$45:$M$56,$B10)</f>
        <v/>
      </c>
      <c r="J10" s="3">
        <f>MID(IF(B23=1,CHAR(10)&amp;ClassRules!$D$2,"")&amp;IF(C23=1,CHAR(10)&amp;ClassRules!$D$3,"")&amp;IF(D23=1,CHAR(10)&amp;ClassRules!$D$4,"")&amp;IF(E23=1,CHAR(10)&amp;ClassRules!$D$5,"")&amp;IF(F23=1,CHAR(10)&amp;ClassRules!$D$6,"")&amp;IF(G23=1,CHAR(10)&amp;ClassRules!$D$7,"")&amp;IF(H23=1,CHAR(10)&amp;ClassRules!$D$8,"")&amp;IF(I23=1,CHAR(10)&amp;ClassRules!$D$9,"")&amp;IF(J23=1,CHAR(10)&amp;ClassRules!$D$10,"")&amp;IF(K23=1,CHAR(10)&amp;ClassRules!$D$11,"")&amp;IF(L23=1,CHAR(10)&amp;ClassRules!$D$12,"")&amp;IF(M23=1,CHAR(10)&amp;ClassRules!$D$13,"")&amp;IF(N23=1,CHAR(10)&amp;ClassRules!$D$14,"")&amp;IF(O23=1,CHAR(10)&amp;ClassRules!$D$15,"")&amp;IF(P23=1,CHAR(10)&amp;ClassRules!$D$16,"")&amp;IF(Q23=1,CHAR(10)&amp;ClassRules!$D$17,"")&amp;IF(R23=1,CHAR(10)&amp;ClassRules!$D$18,"")&amp;IF(S23=1,CHAR(10)&amp;ClassRules!$D$19,""),2,32000)</f>
        <v/>
      </c>
      <c r="K10" s="3">
        <f>INDEX(GrahaInBhava!$D$1:$D$300,$L10)</f>
        <v/>
      </c>
      <c r="L10">
        <f>SUMPRODUCT((GrahaInBhava!$A$2:$A$300=$A10)*(GrahaInBhava!$B$2:$B$300=$B10)*ROW(GrahaInBhava!$A$2:$A$300))</f>
        <v/>
      </c>
      <c r="M10">
        <f>IFERROR(INDEX(Digbala!$B$2:$B$8,MATCH($A10,Digbala!$A$2:$A$8,0)),0)</f>
        <v/>
      </c>
      <c r="N10">
        <f>IFERROR(INDEX(Digbala!$C$2:$C$8,MATCH($A10,Digbala!$A$2:$A$8,0)),0)</f>
        <v/>
      </c>
    </row>
    <row r="11">
      <c r="A11" t="inlineStr">
        <is>
          <t>Ketu</t>
        </is>
      </c>
      <c r="B11">
        <f>Chart!$E$13</f>
        <v/>
      </c>
      <c r="C11">
        <f>IF(OR($A11="Jupiter",$A11="Venus"),"benefic",IF($A11="Moon",IF(Chart!B17,"benefic","malefic"),IF($A11="Mercury",IF(OR(Chart!$D$7=Chart!$D$8,Chart!$D$11=Chart!$D$8,Chart!$D$12=Chart!$D$8,Chart!$D$13=Chart!$D$8),"malefic","benefic"),"malefic")))</f>
        <v/>
      </c>
      <c r="D11">
        <f>INDEX(GrahaInBhava!$E$1:$E$300,$L11)</f>
        <v/>
      </c>
      <c r="E11" s="3">
        <f>INDEX(GrahaInBhava!$C$1:$C$300,$L11)</f>
        <v/>
      </c>
      <c r="F11">
        <f>IF(INDEX(Ref_Calc!$R$11:$AC$11,(Chart!$D$13+1))="Exalted",IF(AND((Chart!$D$13+1)=Ref_Calc!$N$11,Chart!$C$13&gt;Ref_Calc!$K$11),IF(AND(Chart!$C$13&gt;=Ref_Calc!$O$11,Chart!$C$13&lt;=Ref_Calc!$P$11),"Own (Moolatrikona)","Own House"),IF(AND((Chart!$D$13+1)=Ref_Calc!$J$11,ABS(Chart!$C$13-Ref_Calc!$K$11)&lt;=1),"Deep Exalted","Exalted")),IF(INDEX(Ref_Calc!$R$11:$AC$11,(Chart!$D$13+1))="Debilitated",IF(AND((Chart!$D$13+1)=Ref_Calc!$L$11,ABS(Chart!$C$13-Ref_Calc!$M$11)&lt;=1),"Deep Debilitated","Debilitated"),IF(INDEX(Ref_Calc!$R$11:$AC$11,(Chart!$D$13+1))="Own (Moolatrikona)",IF(AND(Chart!$C$13&gt;=Ref_Calc!$O$11,Chart!$C$13&lt;=Ref_Calc!$P$11),"Own (Moolatrikona)","Own House"),INDEX(Ref_Calc!$R$11:$AC$11,(Chart!$D$13+1)))))</f>
        <v/>
      </c>
      <c r="G11" s="3">
        <f>IFERROR($F11&amp;": "&amp;INDEX(DignityEffect!$C$2:$C$10,MATCH($F11,DignityEffect!$A$2:$A$10,0)),"")</f>
        <v/>
      </c>
      <c r="H11" s="3">
        <f>IF($B11=$M11,$A11&amp;" gains directional strength (digbala) in the "&amp;$B11&amp;IF(AND(MOD($B11,100)&gt;=11,MOD($B11,100)&lt;=13),"th",CHOOSE(MOD($B11,10)+1,"th","st","nd","rd","th","th","th","th","th","th"))&amp;" house.",IF($B11=$N11,$A11&amp;" loses directional strength (digbala) in the "&amp;$B11&amp;IF(AND(MOD($B11,100)&gt;=11,MOD($B11,100)&lt;=13),"th",CHOOSE(MOD($B11,10)+1,"th","st","nd","rd","th","th","th","th","th","th"))&amp;" house, opposite its strongest house, the "&amp;$M11&amp;IF(AND(MOD($M11,100)&gt;=11,MOD($M11,100)&lt;=13),"th",CHOOSE(MOD($M11,10)+1,"th","st","nd","rd","th","th","th","th","th","th"))&amp;".",""))</f>
        <v/>
      </c>
      <c r="I11">
        <f>INDEX(Classes_Calc!$M$45:$M$56,$B11)</f>
        <v/>
      </c>
      <c r="J11" s="3">
        <f>MID(IF(B24=1,CHAR(10)&amp;ClassRules!$D$2,"")&amp;IF(C24=1,CHAR(10)&amp;ClassRules!$D$3,"")&amp;IF(D24=1,CHAR(10)&amp;ClassRules!$D$4,"")&amp;IF(E24=1,CHAR(10)&amp;ClassRules!$D$5,"")&amp;IF(F24=1,CHAR(10)&amp;ClassRules!$D$6,"")&amp;IF(G24=1,CHAR(10)&amp;ClassRules!$D$7,"")&amp;IF(H24=1,CHAR(10)&amp;ClassRules!$D$8,"")&amp;IF(I24=1,CHAR(10)&amp;ClassRules!$D$9,"")&amp;IF(J24=1,CHAR(10)&amp;ClassRules!$D$10,"")&amp;IF(K24=1,CHAR(10)&amp;ClassRules!$D$11,"")&amp;IF(L24=1,CHAR(10)&amp;ClassRules!$D$12,"")&amp;IF(M24=1,CHAR(10)&amp;ClassRules!$D$13,"")&amp;IF(N24=1,CHAR(10)&amp;ClassRules!$D$14,"")&amp;IF(O24=1,CHAR(10)&amp;ClassRules!$D$15,"")&amp;IF(P24=1,CHAR(10)&amp;ClassRules!$D$16,"")&amp;IF(Q24=1,CHAR(10)&amp;ClassRules!$D$17,"")&amp;IF(R24=1,CHAR(10)&amp;ClassRules!$D$18,"")&amp;IF(S24=1,CHAR(10)&amp;ClassRules!$D$19,""),2,32000)</f>
        <v/>
      </c>
      <c r="K11" s="3">
        <f>INDEX(GrahaInBhava!$D$1:$D$300,$L11)</f>
        <v/>
      </c>
      <c r="L11">
        <f>SUMPRODUCT((GrahaInBhava!$A$2:$A$300=$A11)*(GrahaInBhava!$B$2:$B$300=$B11)*ROW(GrahaInBhava!$A$2:$A$300))</f>
        <v/>
      </c>
      <c r="M11">
        <f>IFERROR(INDEX(Digbala!$B$2:$B$8,MATCH($A11,Digbala!$A$2:$A$8,0)),0)</f>
        <v/>
      </c>
      <c r="N11">
        <f>IFERROR(INDEX(Digbala!$C$2:$C$8,MATCH($A11,Digbala!$A$2:$A$8,0)),0)</f>
        <v/>
      </c>
    </row>
    <row r="14">
      <c r="A14" s="15" t="inlineStr">
        <is>
          <t>Which ClassRules rows apply to each graha (1 = applies)</t>
        </is>
      </c>
    </row>
    <row r="15">
      <c r="A15" s="13" t="inlineStr">
        <is>
          <t>Graha</t>
        </is>
      </c>
      <c r="B15" s="13" t="inlineStr">
        <is>
          <t>rule 1</t>
        </is>
      </c>
      <c r="C15" s="13" t="inlineStr">
        <is>
          <t>rule 2</t>
        </is>
      </c>
      <c r="D15" s="13" t="inlineStr">
        <is>
          <t>rule 3</t>
        </is>
      </c>
      <c r="E15" s="13" t="inlineStr">
        <is>
          <t>rule 4</t>
        </is>
      </c>
      <c r="F15" s="13" t="inlineStr">
        <is>
          <t>rule 5</t>
        </is>
      </c>
      <c r="G15" s="13" t="inlineStr">
        <is>
          <t>rule 6</t>
        </is>
      </c>
      <c r="H15" s="13" t="inlineStr">
        <is>
          <t>rule 7</t>
        </is>
      </c>
      <c r="I15" s="13" t="inlineStr">
        <is>
          <t>rule 8</t>
        </is>
      </c>
      <c r="J15" s="13" t="inlineStr">
        <is>
          <t>rule 9</t>
        </is>
      </c>
      <c r="K15" s="13" t="inlineStr">
        <is>
          <t>rule 10</t>
        </is>
      </c>
      <c r="L15" s="13" t="inlineStr">
        <is>
          <t>rule 11</t>
        </is>
      </c>
      <c r="M15" s="13" t="inlineStr">
        <is>
          <t>rule 12</t>
        </is>
      </c>
      <c r="N15" s="13" t="inlineStr">
        <is>
          <t>rule 13</t>
        </is>
      </c>
      <c r="O15" s="13" t="inlineStr">
        <is>
          <t>rule 14</t>
        </is>
      </c>
      <c r="P15" s="13" t="inlineStr">
        <is>
          <t>rule 15</t>
        </is>
      </c>
      <c r="Q15" s="13" t="inlineStr">
        <is>
          <t>rule 16</t>
        </is>
      </c>
      <c r="R15" s="13" t="inlineStr">
        <is>
          <t>rule 17</t>
        </is>
      </c>
      <c r="S15" s="13" t="inlineStr">
        <is>
          <t>rule 18</t>
        </is>
      </c>
    </row>
    <row r="16">
      <c r="A16" t="inlineStr">
        <is>
          <t>Sun</t>
        </is>
      </c>
      <c r="B16">
        <f>IF(AND(INDEX(Classes_Calc!$C$45:$L$56,$B3,MATCH(ClassRules!$A$2,Ref_Calc!$AE$3:$AE$12,0))=1,OR(ClassRules!$B$2="any",ClassRules!$B$2=$C3),NOT(ISNUMBER(SEARCH(", "&amp;$B3&amp;",",", "&amp;ClassRules!$C$2&amp;",")))),1,0)</f>
        <v/>
      </c>
      <c r="C16">
        <f>IF(AND(INDEX(Classes_Calc!$C$45:$L$56,$B3,MATCH(ClassRules!$A$3,Ref_Calc!$AE$3:$AE$12,0))=1,OR(ClassRules!$B$3="any",ClassRules!$B$3=$C3),NOT(ISNUMBER(SEARCH(", "&amp;$B3&amp;",",", "&amp;ClassRules!$C$3&amp;",")))),1,0)</f>
        <v/>
      </c>
      <c r="D16">
        <f>IF(AND(INDEX(Classes_Calc!$C$45:$L$56,$B3,MATCH(ClassRules!$A$4,Ref_Calc!$AE$3:$AE$12,0))=1,OR(ClassRules!$B$4="any",ClassRules!$B$4=$C3),NOT(ISNUMBER(SEARCH(", "&amp;$B3&amp;",",", "&amp;ClassRules!$C$4&amp;",")))),1,0)</f>
        <v/>
      </c>
      <c r="E16">
        <f>IF(AND(INDEX(Classes_Calc!$C$45:$L$56,$B3,MATCH(ClassRules!$A$5,Ref_Calc!$AE$3:$AE$12,0))=1,OR(ClassRules!$B$5="any",ClassRules!$B$5=$C3),NOT(ISNUMBER(SEARCH(", "&amp;$B3&amp;",",", "&amp;ClassRules!$C$5&amp;",")))),1,0)</f>
        <v/>
      </c>
      <c r="F16">
        <f>IF(AND(INDEX(Classes_Calc!$C$45:$L$56,$B3,MATCH(ClassRules!$A$6,Ref_Calc!$AE$3:$AE$12,0))=1,OR(ClassRules!$B$6="any",ClassRules!$B$6=$C3),NOT(ISNUMBER(SEARCH(", "&amp;$B3&amp;",",", "&amp;ClassRules!$C$6&amp;",")))),1,0)</f>
        <v/>
      </c>
      <c r="G16">
        <f>IF(AND(INDEX(Classes_Calc!$C$45:$L$56,$B3,MATCH(ClassRules!$A$7,Ref_Calc!$AE$3:$AE$12,0))=1,OR(ClassRules!$B$7="any",ClassRules!$B$7=$C3),NOT(ISNUMBER(SEARCH(", "&amp;$B3&amp;",",", "&amp;ClassRules!$C$7&amp;",")))),1,0)</f>
        <v/>
      </c>
      <c r="H16">
        <f>IF(AND(INDEX(Classes_Calc!$C$45:$L$56,$B3,MATCH(ClassRules!$A$8,Ref_Calc!$AE$3:$AE$12,0))=1,OR(ClassRules!$B$8="any",ClassRules!$B$8=$C3),NOT(ISNUMBER(SEARCH(", "&amp;$B3&amp;",",", "&amp;ClassRules!$C$8&amp;",")))),1,0)</f>
        <v/>
      </c>
      <c r="I16">
        <f>IF(AND(INDEX(Classes_Calc!$C$45:$L$56,$B3,MATCH(ClassRules!$A$9,Ref_Calc!$AE$3:$AE$12,0))=1,OR(ClassRules!$B$9="any",ClassRules!$B$9=$C3),NOT(ISNUMBER(SEARCH(", "&amp;$B3&amp;",",", "&amp;ClassRules!$C$9&amp;",")))),1,0)</f>
        <v/>
      </c>
      <c r="J16">
        <f>IF(AND(INDEX(Classes_Calc!$C$45:$L$56,$B3,MATCH(ClassRules!$A$10,Ref_Calc!$AE$3:$AE$12,0))=1,OR(ClassRules!$B$10="any",ClassRules!$B$10=$C3),NOT(ISNUMBER(SEARCH(", "&amp;$B3&amp;",",", "&amp;ClassRules!$C$10&amp;",")))),1,0)</f>
        <v/>
      </c>
      <c r="K16">
        <f>IF(AND(INDEX(Classes_Calc!$C$45:$L$56,$B3,MATCH(ClassRules!$A$11,Ref_Calc!$AE$3:$AE$12,0))=1,OR(ClassRules!$B$11="any",ClassRules!$B$11=$C3),NOT(ISNUMBER(SEARCH(", "&amp;$B3&amp;",",", "&amp;ClassRules!$C$11&amp;",")))),1,0)</f>
        <v/>
      </c>
      <c r="L16">
        <f>IF(AND(INDEX(Classes_Calc!$C$45:$L$56,$B3,MATCH(ClassRules!$A$12,Ref_Calc!$AE$3:$AE$12,0))=1,OR(ClassRules!$B$12="any",ClassRules!$B$12=$C3),NOT(ISNUMBER(SEARCH(", "&amp;$B3&amp;",",", "&amp;ClassRules!$C$12&amp;",")))),1,0)</f>
        <v/>
      </c>
      <c r="M16">
        <f>IF(AND(INDEX(Classes_Calc!$C$45:$L$56,$B3,MATCH(ClassRules!$A$13,Ref_Calc!$AE$3:$AE$12,0))=1,OR(ClassRules!$B$13="any",ClassRules!$B$13=$C3),NOT(ISNUMBER(SEARCH(", "&amp;$B3&amp;",",", "&amp;ClassRules!$C$13&amp;",")))),1,0)</f>
        <v/>
      </c>
      <c r="N16">
        <f>IF(AND(INDEX(Classes_Calc!$C$45:$L$56,$B3,MATCH(ClassRules!$A$14,Ref_Calc!$AE$3:$AE$12,0))=1,OR(ClassRules!$B$14="any",ClassRules!$B$14=$C3),NOT(ISNUMBER(SEARCH(", "&amp;$B3&amp;",",", "&amp;ClassRules!$C$14&amp;",")))),1,0)</f>
        <v/>
      </c>
      <c r="O16">
        <f>IF(AND(INDEX(Classes_Calc!$C$45:$L$56,$B3,MATCH(ClassRules!$A$15,Ref_Calc!$AE$3:$AE$12,0))=1,OR(ClassRules!$B$15="any",ClassRules!$B$15=$C3),NOT(ISNUMBER(SEARCH(", "&amp;$B3&amp;",",", "&amp;ClassRules!$C$15&amp;",")))),1,0)</f>
        <v/>
      </c>
      <c r="P16">
        <f>IF(AND(INDEX(Classes_Calc!$C$45:$L$56,$B3,MATCH(ClassRules!$A$16,Ref_Calc!$AE$3:$AE$12,0))=1,OR(ClassRules!$B$16="any",ClassRules!$B$16=$C3),NOT(ISNUMBER(SEARCH(", "&amp;$B3&amp;",",", "&amp;ClassRules!$C$16&amp;",")))),1,0)</f>
        <v/>
      </c>
      <c r="Q16">
        <f>IF(AND(INDEX(Classes_Calc!$C$45:$L$56,$B3,MATCH(ClassRules!$A$17,Ref_Calc!$AE$3:$AE$12,0))=1,OR(ClassRules!$B$17="any",ClassRules!$B$17=$C3),NOT(ISNUMBER(SEARCH(", "&amp;$B3&amp;",",", "&amp;ClassRules!$C$17&amp;",")))),1,0)</f>
        <v/>
      </c>
      <c r="R16">
        <f>IF(AND(INDEX(Classes_Calc!$C$45:$L$56,$B3,MATCH(ClassRules!$A$18,Ref_Calc!$AE$3:$AE$12,0))=1,OR(ClassRules!$B$18="any",ClassRules!$B$18=$C3),NOT(ISNUMBER(SEARCH(", "&amp;$B3&amp;",",", "&amp;ClassRules!$C$18&amp;",")))),1,0)</f>
        <v/>
      </c>
      <c r="S16">
        <f>IF(AND(INDEX(Classes_Calc!$C$45:$L$56,$B3,MATCH(ClassRules!$A$19,Ref_Calc!$AE$3:$AE$12,0))=1,OR(ClassRules!$B$19="any",ClassRules!$B$19=$C3),NOT(ISNUMBER(SEARCH(", "&amp;$B3&amp;",",", "&amp;ClassRules!$C$19&amp;",")))),1,0)</f>
        <v/>
      </c>
    </row>
    <row r="17">
      <c r="A17" t="inlineStr">
        <is>
          <t>Moon</t>
        </is>
      </c>
      <c r="B17">
        <f>IF(AND(INDEX(Classes_Calc!$C$45:$L$56,$B4,MATCH(ClassRules!$A$2,Ref_Calc!$AE$3:$AE$12,0))=1,OR(ClassRules!$B$2="any",ClassRules!$B$2=$C4),NOT(ISNUMBER(SEARCH(", "&amp;$B4&amp;",",", "&amp;ClassRules!$C$2&amp;",")))),1,0)</f>
        <v/>
      </c>
      <c r="C17">
        <f>IF(AND(INDEX(Classes_Calc!$C$45:$L$56,$B4,MATCH(ClassRules!$A$3,Ref_Calc!$AE$3:$AE$12,0))=1,OR(ClassRules!$B$3="any",ClassRules!$B$3=$C4),NOT(ISNUMBER(SEARCH(", "&amp;$B4&amp;",",", "&amp;ClassRules!$C$3&amp;",")))),1,0)</f>
        <v/>
      </c>
      <c r="D17">
        <f>IF(AND(INDEX(Classes_Calc!$C$45:$L$56,$B4,MATCH(ClassRules!$A$4,Ref_Calc!$AE$3:$AE$12,0))=1,OR(ClassRules!$B$4="any",ClassRules!$B$4=$C4),NOT(ISNUMBER(SEARCH(", "&amp;$B4&amp;",",", "&amp;ClassRules!$C$4&amp;",")))),1,0)</f>
        <v/>
      </c>
      <c r="E17">
        <f>IF(AND(INDEX(Classes_Calc!$C$45:$L$56,$B4,MATCH(ClassRules!$A$5,Ref_Calc!$AE$3:$AE$12,0))=1,OR(ClassRules!$B$5="any",ClassRules!$B$5=$C4),NOT(ISNUMBER(SEARCH(", "&amp;$B4&amp;",",", "&amp;ClassRules!$C$5&amp;",")))),1,0)</f>
        <v/>
      </c>
      <c r="F17">
        <f>IF(AND(INDEX(Classes_Calc!$C$45:$L$56,$B4,MATCH(ClassRules!$A$6,Ref_Calc!$AE$3:$AE$12,0))=1,OR(ClassRules!$B$6="any",ClassRules!$B$6=$C4),NOT(ISNUMBER(SEARCH(", "&amp;$B4&amp;",",", "&amp;ClassRules!$C$6&amp;",")))),1,0)</f>
        <v/>
      </c>
      <c r="G17">
        <f>IF(AND(INDEX(Classes_Calc!$C$45:$L$56,$B4,MATCH(ClassRules!$A$7,Ref_Calc!$AE$3:$AE$12,0))=1,OR(ClassRules!$B$7="any",ClassRules!$B$7=$C4),NOT(ISNUMBER(SEARCH(", "&amp;$B4&amp;",",", "&amp;ClassRules!$C$7&amp;",")))),1,0)</f>
        <v/>
      </c>
      <c r="H17">
        <f>IF(AND(INDEX(Classes_Calc!$C$45:$L$56,$B4,MATCH(ClassRules!$A$8,Ref_Calc!$AE$3:$AE$12,0))=1,OR(ClassRules!$B$8="any",ClassRules!$B$8=$C4),NOT(ISNUMBER(SEARCH(", "&amp;$B4&amp;",",", "&amp;ClassRules!$C$8&amp;",")))),1,0)</f>
        <v/>
      </c>
      <c r="I17">
        <f>IF(AND(INDEX(Classes_Calc!$C$45:$L$56,$B4,MATCH(ClassRules!$A$9,Ref_Calc!$AE$3:$AE$12,0))=1,OR(ClassRules!$B$9="any",ClassRules!$B$9=$C4),NOT(ISNUMBER(SEARCH(", "&amp;$B4&amp;",",", "&amp;ClassRules!$C$9&amp;",")))),1,0)</f>
        <v/>
      </c>
      <c r="J17">
        <f>IF(AND(INDEX(Classes_Calc!$C$45:$L$56,$B4,MATCH(ClassRules!$A$10,Ref_Calc!$AE$3:$AE$12,0))=1,OR(ClassRules!$B$10="any",ClassRules!$B$10=$C4),NOT(ISNUMBER(SEARCH(", "&amp;$B4&amp;",",", "&amp;ClassRules!$C$10&amp;",")))),1,0)</f>
        <v/>
      </c>
      <c r="K17">
        <f>IF(AND(INDEX(Classes_Calc!$C$45:$L$56,$B4,MATCH(ClassRules!$A$11,Ref_Calc!$AE$3:$AE$12,0))=1,OR(ClassRules!$B$11="any",ClassRules!$B$11=$C4),NOT(ISNUMBER(SEARCH(", "&amp;$B4&amp;",",", "&amp;ClassRules!$C$11&amp;",")))),1,0)</f>
        <v/>
      </c>
      <c r="L17">
        <f>IF(AND(INDEX(Classes_Calc!$C$45:$L$56,$B4,MATCH(ClassRules!$A$12,Ref_Calc!$AE$3:$AE$12,0))=1,OR(ClassRules!$B$12="any",ClassRules!$B$12=$C4),NOT(ISNUMBER(SEARCH(", "&amp;$B4&amp;",",", "&amp;ClassRules!$C$12&amp;",")))),1,0)</f>
        <v/>
      </c>
      <c r="M17">
        <f>IF(AND(INDEX(Classes_Calc!$C$45:$L$56,$B4,MATCH(ClassRules!$A$13,Ref_Calc!$AE$3:$AE$12,0))=1,OR(ClassRules!$B$13="any",ClassRules!$B$13=$C4),NOT(ISNUMBER(SEARCH(", "&amp;$B4&amp;",",", "&amp;ClassRules!$C$13&amp;",")))),1,0)</f>
        <v/>
      </c>
      <c r="N17">
        <f>IF(AND(INDEX(Classes_Calc!$C$45:$L$56,$B4,MATCH(ClassRules!$A$14,Ref_Calc!$AE$3:$AE$12,0))=1,OR(ClassRules!$B$14="any",ClassRules!$B$14=$C4),NOT(ISNUMBER(SEARCH(", "&amp;$B4&amp;",",", "&amp;ClassRules!$C$14&amp;",")))),1,0)</f>
        <v/>
      </c>
      <c r="O17">
        <f>IF(AND(INDEX(Classes_Calc!$C$45:$L$56,$B4,MATCH(ClassRules!$A$15,Ref_Calc!$AE$3:$AE$12,0))=1,OR(ClassRules!$B$15="any",ClassRules!$B$15=$C4),NOT(ISNUMBER(SEARCH(", "&amp;$B4&amp;",",", "&amp;ClassRules!$C$15&amp;",")))),1,0)</f>
        <v/>
      </c>
      <c r="P17">
        <f>IF(AND(INDEX(Classes_Calc!$C$45:$L$56,$B4,MATCH(ClassRules!$A$16,Ref_Calc!$AE$3:$AE$12,0))=1,OR(ClassRules!$B$16="any",ClassRules!$B$16=$C4),NOT(ISNUMBER(SEARCH(", "&amp;$B4&amp;",",", "&amp;ClassRules!$C$16&amp;",")))),1,0)</f>
        <v/>
      </c>
      <c r="Q17">
        <f>IF(AND(INDEX(Classes_Calc!$C$45:$L$56,$B4,MATCH(ClassRules!$A$17,Ref_Calc!$AE$3:$AE$12,0))=1,OR(ClassRules!$B$17="any",ClassRules!$B$17=$C4),NOT(ISNUMBER(SEARCH(", "&amp;$B4&amp;",",", "&amp;ClassRules!$C$17&amp;",")))),1,0)</f>
        <v/>
      </c>
      <c r="R17">
        <f>IF(AND(INDEX(Classes_Calc!$C$45:$L$56,$B4,MATCH(ClassRules!$A$18,Ref_Calc!$AE$3:$AE$12,0))=1,OR(ClassRules!$B$18="any",ClassRules!$B$18=$C4),NOT(ISNUMBER(SEARCH(", "&amp;$B4&amp;",",", "&amp;ClassRules!$C$18&amp;",")))),1,0)</f>
        <v/>
      </c>
      <c r="S17">
        <f>IF(AND(INDEX(Classes_Calc!$C$45:$L$56,$B4,MATCH(ClassRules!$A$19,Ref_Calc!$AE$3:$AE$12,0))=1,OR(ClassRules!$B$19="any",ClassRules!$B$19=$C4),NOT(ISNUMBER(SEARCH(", "&amp;$B4&amp;",",", "&amp;ClassRules!$C$19&amp;",")))),1,0)</f>
        <v/>
      </c>
    </row>
    <row r="18">
      <c r="A18" t="inlineStr">
        <is>
          <t>Mars</t>
        </is>
      </c>
      <c r="B18">
        <f>IF(AND(INDEX(Classes_Calc!$C$45:$L$56,$B5,MATCH(ClassRules!$A$2,Ref_Calc!$AE$3:$AE$12,0))=1,OR(ClassRules!$B$2="any",ClassRules!$B$2=$C5),NOT(ISNUMBER(SEARCH(", "&amp;$B5&amp;",",", "&amp;ClassRules!$C$2&amp;",")))),1,0)</f>
        <v/>
      </c>
      <c r="C18">
        <f>IF(AND(INDEX(Classes_Calc!$C$45:$L$56,$B5,MATCH(ClassRules!$A$3,Ref_Calc!$AE$3:$AE$12,0))=1,OR(ClassRules!$B$3="any",ClassRules!$B$3=$C5),NOT(ISNUMBER(SEARCH(", "&amp;$B5&amp;",",", "&amp;ClassRules!$C$3&amp;",")))),1,0)</f>
        <v/>
      </c>
      <c r="D18">
        <f>IF(AND(INDEX(Classes_Calc!$C$45:$L$56,$B5,MATCH(ClassRules!$A$4,Ref_Calc!$AE$3:$AE$12,0))=1,OR(ClassRules!$B$4="any",ClassRules!$B$4=$C5),NOT(ISNUMBER(SEARCH(", "&amp;$B5&amp;",",", "&amp;ClassRules!$C$4&amp;",")))),1,0)</f>
        <v/>
      </c>
      <c r="E18">
        <f>IF(AND(INDEX(Classes_Calc!$C$45:$L$56,$B5,MATCH(ClassRules!$A$5,Ref_Calc!$AE$3:$AE$12,0))=1,OR(ClassRules!$B$5="any",ClassRules!$B$5=$C5),NOT(ISNUMBER(SEARCH(", "&amp;$B5&amp;",",", "&amp;ClassRules!$C$5&amp;",")))),1,0)</f>
        <v/>
      </c>
      <c r="F18">
        <f>IF(AND(INDEX(Classes_Calc!$C$45:$L$56,$B5,MATCH(ClassRules!$A$6,Ref_Calc!$AE$3:$AE$12,0))=1,OR(ClassRules!$B$6="any",ClassRules!$B$6=$C5),NOT(ISNUMBER(SEARCH(", "&amp;$B5&amp;",",", "&amp;ClassRules!$C$6&amp;",")))),1,0)</f>
        <v/>
      </c>
      <c r="G18">
        <f>IF(AND(INDEX(Classes_Calc!$C$45:$L$56,$B5,MATCH(ClassRules!$A$7,Ref_Calc!$AE$3:$AE$12,0))=1,OR(ClassRules!$B$7="any",ClassRules!$B$7=$C5),NOT(ISNUMBER(SEARCH(", "&amp;$B5&amp;",",", "&amp;ClassRules!$C$7&amp;",")))),1,0)</f>
        <v/>
      </c>
      <c r="H18">
        <f>IF(AND(INDEX(Classes_Calc!$C$45:$L$56,$B5,MATCH(ClassRules!$A$8,Ref_Calc!$AE$3:$AE$12,0))=1,OR(ClassRules!$B$8="any",ClassRules!$B$8=$C5),NOT(ISNUMBER(SEARCH(", "&amp;$B5&amp;",",", "&amp;ClassRules!$C$8&amp;",")))),1,0)</f>
        <v/>
      </c>
      <c r="I18">
        <f>IF(AND(INDEX(Classes_Calc!$C$45:$L$56,$B5,MATCH(ClassRules!$A$9,Ref_Calc!$AE$3:$AE$12,0))=1,OR(ClassRules!$B$9="any",ClassRules!$B$9=$C5),NOT(ISNUMBER(SEARCH(", "&amp;$B5&amp;",",", "&amp;ClassRules!$C$9&amp;",")))),1,0)</f>
        <v/>
      </c>
      <c r="J18">
        <f>IF(AND(INDEX(Classes_Calc!$C$45:$L$56,$B5,MATCH(ClassRules!$A$10,Ref_Calc!$AE$3:$AE$12,0))=1,OR(ClassRules!$B$10="any",ClassRules!$B$10=$C5),NOT(ISNUMBER(SEARCH(", "&amp;$B5&amp;",",", "&amp;ClassRules!$C$10&amp;",")))),1,0)</f>
        <v/>
      </c>
      <c r="K18">
        <f>IF(AND(INDEX(Classes_Calc!$C$45:$L$56,$B5,MATCH(ClassRules!$A$11,Ref_Calc!$AE$3:$AE$12,0))=1,OR(ClassRules!$B$11="any",ClassRules!$B$11=$C5),NOT(ISNUMBER(SEARCH(", "&amp;$B5&amp;",",", "&amp;ClassRules!$C$11&amp;",")))),1,0)</f>
        <v/>
      </c>
      <c r="L18">
        <f>IF(AND(INDEX(Classes_Calc!$C$45:$L$56,$B5,MATCH(ClassRules!$A$12,Ref_Calc!$AE$3:$AE$12,0))=1,OR(ClassRules!$B$12="any",ClassRules!$B$12=$C5),NOT(ISNUMBER(SEARCH(", "&amp;$B5&amp;",",", "&amp;ClassRules!$C$12&amp;",")))),1,0)</f>
        <v/>
      </c>
      <c r="M18">
        <f>IF(AND(INDEX(Classes_Calc!$C$45:$L$56,$B5,MATCH(ClassRules!$A$13,Ref_Calc!$AE$3:$AE$12,0))=1,OR(ClassRules!$B$13="any",ClassRules!$B$13=$C5),NOT(ISNUMBER(SEARCH(", "&amp;$B5&amp;",",", "&amp;ClassRules!$C$13&amp;",")))),1,0)</f>
        <v/>
      </c>
      <c r="N18">
        <f>IF(AND(INDEX(Classes_Calc!$C$45:$L$56,$B5,MATCH(ClassRules!$A$14,Ref_Calc!$AE$3:$AE$12,0))=1,OR(ClassRules!$B$14="any",ClassRules!$B$14=$C5),NOT(ISNUMBER(SEARCH(", "&amp;$B5&amp;",",", "&amp;ClassRules!$C$14&amp;",")))),1,0)</f>
        <v/>
      </c>
      <c r="O18">
        <f>IF(AND(INDEX(Classes_Calc!$C$45:$L$56,$B5,MATCH(ClassRules!$A$15,Ref_Calc!$AE$3:$AE$12,0))=1,OR(ClassRules!$B$15="any",ClassRules!$B$15=$C5),NOT(ISNUMBER(SEARCH(", "&amp;$B5&amp;",",", "&amp;ClassRules!$C$15&amp;",")))),1,0)</f>
        <v/>
      </c>
      <c r="P18">
        <f>IF(AND(INDEX(Classes_Calc!$C$45:$L$56,$B5,MATCH(ClassRules!$A$16,Ref_Calc!$AE$3:$AE$12,0))=1,OR(ClassRules!$B$16="any",ClassRules!$B$16=$C5),NOT(ISNUMBER(SEARCH(", "&amp;$B5&amp;",",", "&amp;ClassRules!$C$16&amp;",")))),1,0)</f>
        <v/>
      </c>
      <c r="Q18">
        <f>IF(AND(INDEX(Classes_Calc!$C$45:$L$56,$B5,MATCH(ClassRules!$A$17,Ref_Calc!$AE$3:$AE$12,0))=1,OR(ClassRules!$B$17="any",ClassRules!$B$17=$C5),NOT(ISNUMBER(SEARCH(", "&amp;$B5&amp;",",", "&amp;ClassRules!$C$17&amp;",")))),1,0)</f>
        <v/>
      </c>
      <c r="R18">
        <f>IF(AND(INDEX(Classes_Calc!$C$45:$L$56,$B5,MATCH(ClassRules!$A$18,Ref_Calc!$AE$3:$AE$12,0))=1,OR(ClassRules!$B$18="any",ClassRules!$B$18=$C5),NOT(ISNUMBER(SEARCH(", "&amp;$B5&amp;",",", "&amp;ClassRules!$C$18&amp;",")))),1,0)</f>
        <v/>
      </c>
      <c r="S18">
        <f>IF(AND(INDEX(Classes_Calc!$C$45:$L$56,$B5,MATCH(ClassRules!$A$19,Ref_Calc!$AE$3:$AE$12,0))=1,OR(ClassRules!$B$19="any",ClassRules!$B$19=$C5),NOT(ISNUMBER(SEARCH(", "&amp;$B5&amp;",",", "&amp;ClassRules!$C$19&amp;",")))),1,0)</f>
        <v/>
      </c>
    </row>
    <row r="19">
      <c r="A19" t="inlineStr">
        <is>
          <t>Mercury</t>
        </is>
      </c>
      <c r="B19">
        <f>IF(AND(INDEX(Classes_Calc!$C$45:$L$56,$B6,MATCH(ClassRules!$A$2,Ref_Calc!$AE$3:$AE$12,0))=1,OR(ClassRules!$B$2="any",ClassRules!$B$2=$C6),NOT(ISNUMBER(SEARCH(", "&amp;$B6&amp;",",", "&amp;ClassRules!$C$2&amp;",")))),1,0)</f>
        <v/>
      </c>
      <c r="C19">
        <f>IF(AND(INDEX(Classes_Calc!$C$45:$L$56,$B6,MATCH(ClassRules!$A$3,Ref_Calc!$AE$3:$AE$12,0))=1,OR(ClassRules!$B$3="any",ClassRules!$B$3=$C6),NOT(ISNUMBER(SEARCH(", "&amp;$B6&amp;",",", "&amp;ClassRules!$C$3&amp;",")))),1,0)</f>
        <v/>
      </c>
      <c r="D19">
        <f>IF(AND(INDEX(Classes_Calc!$C$45:$L$56,$B6,MATCH(ClassRules!$A$4,Ref_Calc!$AE$3:$AE$12,0))=1,OR(ClassRules!$B$4="any",ClassRules!$B$4=$C6),NOT(ISNUMBER(SEARCH(", "&amp;$B6&amp;",",", "&amp;ClassRules!$C$4&amp;",")))),1,0)</f>
        <v/>
      </c>
      <c r="E19">
        <f>IF(AND(INDEX(Classes_Calc!$C$45:$L$56,$B6,MATCH(ClassRules!$A$5,Ref_Calc!$AE$3:$AE$12,0))=1,OR(ClassRules!$B$5="any",ClassRules!$B$5=$C6),NOT(ISNUMBER(SEARCH(", "&amp;$B6&amp;",",", "&amp;ClassRules!$C$5&amp;",")))),1,0)</f>
        <v/>
      </c>
      <c r="F19">
        <f>IF(AND(INDEX(Classes_Calc!$C$45:$L$56,$B6,MATCH(ClassRules!$A$6,Ref_Calc!$AE$3:$AE$12,0))=1,OR(ClassRules!$B$6="any",ClassRules!$B$6=$C6),NOT(ISNUMBER(SEARCH(", "&amp;$B6&amp;",",", "&amp;ClassRules!$C$6&amp;",")))),1,0)</f>
        <v/>
      </c>
      <c r="G19">
        <f>IF(AND(INDEX(Classes_Calc!$C$45:$L$56,$B6,MATCH(ClassRules!$A$7,Ref_Calc!$AE$3:$AE$12,0))=1,OR(ClassRules!$B$7="any",ClassRules!$B$7=$C6),NOT(ISNUMBER(SEARCH(", "&amp;$B6&amp;",",", "&amp;ClassRules!$C$7&amp;",")))),1,0)</f>
        <v/>
      </c>
      <c r="H19">
        <f>IF(AND(INDEX(Classes_Calc!$C$45:$L$56,$B6,MATCH(ClassRules!$A$8,Ref_Calc!$AE$3:$AE$12,0))=1,OR(ClassRules!$B$8="any",ClassRules!$B$8=$C6),NOT(ISNUMBER(SEARCH(", "&amp;$B6&amp;",",", "&amp;ClassRules!$C$8&amp;",")))),1,0)</f>
        <v/>
      </c>
      <c r="I19">
        <f>IF(AND(INDEX(Classes_Calc!$C$45:$L$56,$B6,MATCH(ClassRules!$A$9,Ref_Calc!$AE$3:$AE$12,0))=1,OR(ClassRules!$B$9="any",ClassRules!$B$9=$C6),NOT(ISNUMBER(SEARCH(", "&amp;$B6&amp;",",", "&amp;ClassRules!$C$9&amp;",")))),1,0)</f>
        <v/>
      </c>
      <c r="J19">
        <f>IF(AND(INDEX(Classes_Calc!$C$45:$L$56,$B6,MATCH(ClassRules!$A$10,Ref_Calc!$AE$3:$AE$12,0))=1,OR(ClassRules!$B$10="any",ClassRules!$B$10=$C6),NOT(ISNUMBER(SEARCH(", "&amp;$B6&amp;",",", "&amp;ClassRules!$C$10&amp;",")))),1,0)</f>
        <v/>
      </c>
      <c r="K19">
        <f>IF(AND(INDEX(Classes_Calc!$C$45:$L$56,$B6,MATCH(ClassRules!$A$11,Ref_Calc!$AE$3:$AE$12,0))=1,OR(ClassRules!$B$11="any",ClassRules!$B$11=$C6),NOT(ISNUMBER(SEARCH(", "&amp;$B6&amp;",",", "&amp;ClassRules!$C$11&amp;",")))),1,0)</f>
        <v/>
      </c>
      <c r="L19">
        <f>IF(AND(INDEX(Classes_Calc!$C$45:$L$56,$B6,MATCH(ClassRules!$A$12,Ref_Calc!$AE$3:$AE$12,0))=1,OR(ClassRules!$B$12="any",ClassRules!$B$12=$C6),NOT(ISNUMBER(SEARCH(", "&amp;$B6&amp;",",", "&amp;ClassRules!$C$12&amp;",")))),1,0)</f>
        <v/>
      </c>
      <c r="M19">
        <f>IF(AND(INDEX(Classes_Calc!$C$45:$L$56,$B6,MATCH(ClassRules!$A$13,Ref_Calc!$AE$3:$AE$12,0))=1,OR(ClassRules!$B$13="any",ClassRules!$B$13=$C6),NOT(ISNUMBER(SEARCH(", "&amp;$B6&amp;",",", "&amp;ClassRules!$C$13&amp;",")))),1,0)</f>
        <v/>
      </c>
      <c r="N19">
        <f>IF(AND(INDEX(Classes_Calc!$C$45:$L$56,$B6,MATCH(ClassRules!$A$14,Ref_Calc!$AE$3:$AE$12,0))=1,OR(ClassRules!$B$14="any",ClassRules!$B$14=$C6),NOT(ISNUMBER(SEARCH(", "&amp;$B6&amp;",",", "&amp;ClassRules!$C$14&amp;",")))),1,0)</f>
        <v/>
      </c>
      <c r="O19">
        <f>IF(AND(INDEX(Classes_Calc!$C$45:$L$56,$B6,MATCH(ClassRules!$A$15,Ref_Calc!$AE$3:$AE$12,0))=1,OR(ClassRules!$B$15="any",ClassRules!$B$15=$C6),NOT(ISNUMBER(SEARCH(", "&amp;$B6&amp;",",", "&amp;ClassRules!$C$15&amp;",")))),1,0)</f>
        <v/>
      </c>
      <c r="P19">
        <f>IF(AND(INDEX(Classes_Calc!$C$45:$L$56,$B6,MATCH(ClassRules!$A$16,Ref_Calc!$AE$3:$AE$12,0))=1,OR(ClassRules!$B$16="any",ClassRules!$B$16=$C6),NOT(ISNUMBER(SEARCH(", "&amp;$B6&amp;",",", "&amp;ClassRules!$C$16&amp;",")))),1,0)</f>
        <v/>
      </c>
      <c r="Q19">
        <f>IF(AND(INDEX(Classes_Calc!$C$45:$L$56,$B6,MATCH(ClassRules!$A$17,Ref_Calc!$AE$3:$AE$12,0))=1,OR(ClassRules!$B$17="any",ClassRules!$B$17=$C6),NOT(ISNUMBER(SEARCH(", "&amp;$B6&amp;",",", "&amp;ClassRules!$C$17&amp;",")))),1,0)</f>
        <v/>
      </c>
      <c r="R19">
        <f>IF(AND(INDEX(Classes_Calc!$C$45:$L$56,$B6,MATCH(ClassRules!$A$18,Ref_Calc!$AE$3:$AE$12,0))=1,OR(ClassRules!$B$18="any",ClassRules!$B$18=$C6),NOT(ISNUMBER(SEARCH(", "&amp;$B6&amp;",",", "&amp;ClassRules!$C$18&amp;",")))),1,0)</f>
        <v/>
      </c>
      <c r="S19">
        <f>IF(AND(INDEX(Classes_Calc!$C$45:$L$56,$B6,MATCH(ClassRules!$A$19,Ref_Calc!$AE$3:$AE$12,0))=1,OR(ClassRules!$B$19="any",ClassRules!$B$19=$C6),NOT(ISNUMBER(SEARCH(", "&amp;$B6&amp;",",", "&amp;ClassRules!$C$19&amp;",")))),1,0)</f>
        <v/>
      </c>
    </row>
    <row r="20">
      <c r="A20" t="inlineStr">
        <is>
          <t>Jupiter</t>
        </is>
      </c>
      <c r="B20">
        <f>IF(AND(INDEX(Classes_Calc!$C$45:$L$56,$B7,MATCH(ClassRules!$A$2,Ref_Calc!$AE$3:$AE$12,0))=1,OR(ClassRules!$B$2="any",ClassRules!$B$2=$C7),NOT(ISNUMBER(SEARCH(", "&amp;$B7&amp;",",", "&amp;ClassRules!$C$2&amp;",")))),1,0)</f>
        <v/>
      </c>
      <c r="C20">
        <f>IF(AND(INDEX(Classes_Calc!$C$45:$L$56,$B7,MATCH(ClassRules!$A$3,Ref_Calc!$AE$3:$AE$12,0))=1,OR(ClassRules!$B$3="any",ClassRules!$B$3=$C7),NOT(ISNUMBER(SEARCH(", "&amp;$B7&amp;",",", "&amp;ClassRules!$C$3&amp;",")))),1,0)</f>
        <v/>
      </c>
      <c r="D20">
        <f>IF(AND(INDEX(Classes_Calc!$C$45:$L$56,$B7,MATCH(ClassRules!$A$4,Ref_Calc!$AE$3:$AE$12,0))=1,OR(ClassRules!$B$4="any",ClassRules!$B$4=$C7),NOT(ISNUMBER(SEARCH(", "&amp;$B7&amp;",",", "&amp;ClassRules!$C$4&amp;",")))),1,0)</f>
        <v/>
      </c>
      <c r="E20">
        <f>IF(AND(INDEX(Classes_Calc!$C$45:$L$56,$B7,MATCH(ClassRules!$A$5,Ref_Calc!$AE$3:$AE$12,0))=1,OR(ClassRules!$B$5="any",ClassRules!$B$5=$C7),NOT(ISNUMBER(SEARCH(", "&amp;$B7&amp;",",", "&amp;ClassRules!$C$5&amp;",")))),1,0)</f>
        <v/>
      </c>
      <c r="F20">
        <f>IF(AND(INDEX(Classes_Calc!$C$45:$L$56,$B7,MATCH(ClassRules!$A$6,Ref_Calc!$AE$3:$AE$12,0))=1,OR(ClassRules!$B$6="any",ClassRules!$B$6=$C7),NOT(ISNUMBER(SEARCH(", "&amp;$B7&amp;",",", "&amp;ClassRules!$C$6&amp;",")))),1,0)</f>
        <v/>
      </c>
      <c r="G20">
        <f>IF(AND(INDEX(Classes_Calc!$C$45:$L$56,$B7,MATCH(ClassRules!$A$7,Ref_Calc!$AE$3:$AE$12,0))=1,OR(ClassRules!$B$7="any",ClassRules!$B$7=$C7),NOT(ISNUMBER(SEARCH(", "&amp;$B7&amp;",",", "&amp;ClassRules!$C$7&amp;",")))),1,0)</f>
        <v/>
      </c>
      <c r="H20">
        <f>IF(AND(INDEX(Classes_Calc!$C$45:$L$56,$B7,MATCH(ClassRules!$A$8,Ref_Calc!$AE$3:$AE$12,0))=1,OR(ClassRules!$B$8="any",ClassRules!$B$8=$C7),NOT(ISNUMBER(SEARCH(", "&amp;$B7&amp;",",", "&amp;ClassRules!$C$8&amp;",")))),1,0)</f>
        <v/>
      </c>
      <c r="I20">
        <f>IF(AND(INDEX(Classes_Calc!$C$45:$L$56,$B7,MATCH(ClassRules!$A$9,Ref_Calc!$AE$3:$AE$12,0))=1,OR(ClassRules!$B$9="any",ClassRules!$B$9=$C7),NOT(ISNUMBER(SEARCH(", "&amp;$B7&amp;",",", "&amp;ClassRules!$C$9&amp;",")))),1,0)</f>
        <v/>
      </c>
      <c r="J20">
        <f>IF(AND(INDEX(Classes_Calc!$C$45:$L$56,$B7,MATCH(ClassRules!$A$10,Ref_Calc!$AE$3:$AE$12,0))=1,OR(ClassRules!$B$10="any",ClassRules!$B$10=$C7),NOT(ISNUMBER(SEARCH(", "&amp;$B7&amp;",",", "&amp;ClassRules!$C$10&amp;",")))),1,0)</f>
        <v/>
      </c>
      <c r="K20">
        <f>IF(AND(INDEX(Classes_Calc!$C$45:$L$56,$B7,MATCH(ClassRules!$A$11,Ref_Calc!$AE$3:$AE$12,0))=1,OR(ClassRules!$B$11="any",ClassRules!$B$11=$C7),NOT(ISNUMBER(SEARCH(", "&amp;$B7&amp;",",", "&amp;ClassRules!$C$11&amp;",")))),1,0)</f>
        <v/>
      </c>
      <c r="L20">
        <f>IF(AND(INDEX(Classes_Calc!$C$45:$L$56,$B7,MATCH(ClassRules!$A$12,Ref_Calc!$AE$3:$AE$12,0))=1,OR(ClassRules!$B$12="any",ClassRules!$B$12=$C7),NOT(ISNUMBER(SEARCH(", "&amp;$B7&amp;",",", "&amp;ClassRules!$C$12&amp;",")))),1,0)</f>
        <v/>
      </c>
      <c r="M20">
        <f>IF(AND(INDEX(Classes_Calc!$C$45:$L$56,$B7,MATCH(ClassRules!$A$13,Ref_Calc!$AE$3:$AE$12,0))=1,OR(ClassRules!$B$13="any",ClassRules!$B$13=$C7),NOT(ISNUMBER(SEARCH(", "&amp;$B7&amp;",",", "&amp;ClassRules!$C$13&amp;",")))),1,0)</f>
        <v/>
      </c>
      <c r="N20">
        <f>IF(AND(INDEX(Classes_Calc!$C$45:$L$56,$B7,MATCH(ClassRules!$A$14,Ref_Calc!$AE$3:$AE$12,0))=1,OR(ClassRules!$B$14="any",ClassRules!$B$14=$C7),NOT(ISNUMBER(SEARCH(", "&amp;$B7&amp;",",", "&amp;ClassRules!$C$14&amp;",")))),1,0)</f>
        <v/>
      </c>
      <c r="O20">
        <f>IF(AND(INDEX(Classes_Calc!$C$45:$L$56,$B7,MATCH(ClassRules!$A$15,Ref_Calc!$AE$3:$AE$12,0))=1,OR(ClassRules!$B$15="any",ClassRules!$B$15=$C7),NOT(ISNUMBER(SEARCH(", "&amp;$B7&amp;",",", "&amp;ClassRules!$C$15&amp;",")))),1,0)</f>
        <v/>
      </c>
      <c r="P20">
        <f>IF(AND(INDEX(Classes_Calc!$C$45:$L$56,$B7,MATCH(ClassRules!$A$16,Ref_Calc!$AE$3:$AE$12,0))=1,OR(ClassRules!$B$16="any",ClassRules!$B$16=$C7),NOT(ISNUMBER(SEARCH(", "&amp;$B7&amp;",",", "&amp;ClassRules!$C$16&amp;",")))),1,0)</f>
        <v/>
      </c>
      <c r="Q20">
        <f>IF(AND(INDEX(Classes_Calc!$C$45:$L$56,$B7,MATCH(ClassRules!$A$17,Ref_Calc!$AE$3:$AE$12,0))=1,OR(ClassRules!$B$17="any",ClassRules!$B$17=$C7),NOT(ISNUMBER(SEARCH(", "&amp;$B7&amp;",",", "&amp;ClassRules!$C$17&amp;",")))),1,0)</f>
        <v/>
      </c>
      <c r="R20">
        <f>IF(AND(INDEX(Classes_Calc!$C$45:$L$56,$B7,MATCH(ClassRules!$A$18,Ref_Calc!$AE$3:$AE$12,0))=1,OR(ClassRules!$B$18="any",ClassRules!$B$18=$C7),NOT(ISNUMBER(SEARCH(", "&amp;$B7&amp;",",", "&amp;ClassRules!$C$18&amp;",")))),1,0)</f>
        <v/>
      </c>
      <c r="S20">
        <f>IF(AND(INDEX(Classes_Calc!$C$45:$L$56,$B7,MATCH(ClassRules!$A$19,Ref_Calc!$AE$3:$AE$12,0))=1,OR(ClassRules!$B$19="any",ClassRules!$B$19=$C7),NOT(ISNUMBER(SEARCH(", "&amp;$B7&amp;",",", "&amp;ClassRules!$C$19&amp;",")))),1,0)</f>
        <v/>
      </c>
    </row>
    <row r="21">
      <c r="A21" t="inlineStr">
        <is>
          <t>Venus</t>
        </is>
      </c>
      <c r="B21">
        <f>IF(AND(INDEX(Classes_Calc!$C$45:$L$56,$B8,MATCH(ClassRules!$A$2,Ref_Calc!$AE$3:$AE$12,0))=1,OR(ClassRules!$B$2="any",ClassRules!$B$2=$C8),NOT(ISNUMBER(SEARCH(", "&amp;$B8&amp;",",", "&amp;ClassRules!$C$2&amp;",")))),1,0)</f>
        <v/>
      </c>
      <c r="C21">
        <f>IF(AND(INDEX(Classes_Calc!$C$45:$L$56,$B8,MATCH(ClassRules!$A$3,Ref_Calc!$AE$3:$AE$12,0))=1,OR(ClassRules!$B$3="any",ClassRules!$B$3=$C8),NOT(ISNUMBER(SEARCH(", "&amp;$B8&amp;",",", "&amp;ClassRules!$C$3&amp;",")))),1,0)</f>
        <v/>
      </c>
      <c r="D21">
        <f>IF(AND(INDEX(Classes_Calc!$C$45:$L$56,$B8,MATCH(ClassRules!$A$4,Ref_Calc!$AE$3:$AE$12,0))=1,OR(ClassRules!$B$4="any",ClassRules!$B$4=$C8),NOT(ISNUMBER(SEARCH(", "&amp;$B8&amp;",",", "&amp;ClassRules!$C$4&amp;",")))),1,0)</f>
        <v/>
      </c>
      <c r="E21">
        <f>IF(AND(INDEX(Classes_Calc!$C$45:$L$56,$B8,MATCH(ClassRules!$A$5,Ref_Calc!$AE$3:$AE$12,0))=1,OR(ClassRules!$B$5="any",ClassRules!$B$5=$C8),NOT(ISNUMBER(SEARCH(", "&amp;$B8&amp;",",", "&amp;ClassRules!$C$5&amp;",")))),1,0)</f>
        <v/>
      </c>
      <c r="F21">
        <f>IF(AND(INDEX(Classes_Calc!$C$45:$L$56,$B8,MATCH(ClassRules!$A$6,Ref_Calc!$AE$3:$AE$12,0))=1,OR(ClassRules!$B$6="any",ClassRules!$B$6=$C8),NOT(ISNUMBER(SEARCH(", "&amp;$B8&amp;",",", "&amp;ClassRules!$C$6&amp;",")))),1,0)</f>
        <v/>
      </c>
      <c r="G21">
        <f>IF(AND(INDEX(Classes_Calc!$C$45:$L$56,$B8,MATCH(ClassRules!$A$7,Ref_Calc!$AE$3:$AE$12,0))=1,OR(ClassRules!$B$7="any",ClassRules!$B$7=$C8),NOT(ISNUMBER(SEARCH(", "&amp;$B8&amp;",",", "&amp;ClassRules!$C$7&amp;",")))),1,0)</f>
        <v/>
      </c>
      <c r="H21">
        <f>IF(AND(INDEX(Classes_Calc!$C$45:$L$56,$B8,MATCH(ClassRules!$A$8,Ref_Calc!$AE$3:$AE$12,0))=1,OR(ClassRules!$B$8="any",ClassRules!$B$8=$C8),NOT(ISNUMBER(SEARCH(", "&amp;$B8&amp;",",", "&amp;ClassRules!$C$8&amp;",")))),1,0)</f>
        <v/>
      </c>
      <c r="I21">
        <f>IF(AND(INDEX(Classes_Calc!$C$45:$L$56,$B8,MATCH(ClassRules!$A$9,Ref_Calc!$AE$3:$AE$12,0))=1,OR(ClassRules!$B$9="any",ClassRules!$B$9=$C8),NOT(ISNUMBER(SEARCH(", "&amp;$B8&amp;",",", "&amp;ClassRules!$C$9&amp;",")))),1,0)</f>
        <v/>
      </c>
      <c r="J21">
        <f>IF(AND(INDEX(Classes_Calc!$C$45:$L$56,$B8,MATCH(ClassRules!$A$10,Ref_Calc!$AE$3:$AE$12,0))=1,OR(ClassRules!$B$10="any",ClassRules!$B$10=$C8),NOT(ISNUMBER(SEARCH(", "&amp;$B8&amp;",",", "&amp;ClassRules!$C$10&amp;",")))),1,0)</f>
        <v/>
      </c>
      <c r="K21">
        <f>IF(AND(INDEX(Classes_Calc!$C$45:$L$56,$B8,MATCH(ClassRules!$A$11,Ref_Calc!$AE$3:$AE$12,0))=1,OR(ClassRules!$B$11="any",ClassRules!$B$11=$C8),NOT(ISNUMBER(SEARCH(", "&amp;$B8&amp;",",", "&amp;ClassRules!$C$11&amp;",")))),1,0)</f>
        <v/>
      </c>
      <c r="L21">
        <f>IF(AND(INDEX(Classes_Calc!$C$45:$L$56,$B8,MATCH(ClassRules!$A$12,Ref_Calc!$AE$3:$AE$12,0))=1,OR(ClassRules!$B$12="any",ClassRules!$B$12=$C8),NOT(ISNUMBER(SEARCH(", "&amp;$B8&amp;",",", "&amp;ClassRules!$C$12&amp;",")))),1,0)</f>
        <v/>
      </c>
      <c r="M21">
        <f>IF(AND(INDEX(Classes_Calc!$C$45:$L$56,$B8,MATCH(ClassRules!$A$13,Ref_Calc!$AE$3:$AE$12,0))=1,OR(ClassRules!$B$13="any",ClassRules!$B$13=$C8),NOT(ISNUMBER(SEARCH(", "&amp;$B8&amp;",",", "&amp;ClassRules!$C$13&amp;",")))),1,0)</f>
        <v/>
      </c>
      <c r="N21">
        <f>IF(AND(INDEX(Classes_Calc!$C$45:$L$56,$B8,MATCH(ClassRules!$A$14,Ref_Calc!$AE$3:$AE$12,0))=1,OR(ClassRules!$B$14="any",ClassRules!$B$14=$C8),NOT(ISNUMBER(SEARCH(", "&amp;$B8&amp;",",", "&amp;ClassRules!$C$14&amp;",")))),1,0)</f>
        <v/>
      </c>
      <c r="O21">
        <f>IF(AND(INDEX(Classes_Calc!$C$45:$L$56,$B8,MATCH(ClassRules!$A$15,Ref_Calc!$AE$3:$AE$12,0))=1,OR(ClassRules!$B$15="any",ClassRules!$B$15=$C8),NOT(ISNUMBER(SEARCH(", "&amp;$B8&amp;",",", "&amp;ClassRules!$C$15&amp;",")))),1,0)</f>
        <v/>
      </c>
      <c r="P21">
        <f>IF(AND(INDEX(Classes_Calc!$C$45:$L$56,$B8,MATCH(ClassRules!$A$16,Ref_Calc!$AE$3:$AE$12,0))=1,OR(ClassRules!$B$16="any",ClassRules!$B$16=$C8),NOT(ISNUMBER(SEARCH(", "&amp;$B8&amp;",",", "&amp;ClassRules!$C$16&amp;",")))),1,0)</f>
        <v/>
      </c>
      <c r="Q21">
        <f>IF(AND(INDEX(Classes_Calc!$C$45:$L$56,$B8,MATCH(ClassRules!$A$17,Ref_Calc!$AE$3:$AE$12,0))=1,OR(ClassRules!$B$17="any",ClassRules!$B$17=$C8),NOT(ISNUMBER(SEARCH(", "&amp;$B8&amp;",",", "&amp;ClassRules!$C$17&amp;",")))),1,0)</f>
        <v/>
      </c>
      <c r="R21">
        <f>IF(AND(INDEX(Classes_Calc!$C$45:$L$56,$B8,MATCH(ClassRules!$A$18,Ref_Calc!$AE$3:$AE$12,0))=1,OR(ClassRules!$B$18="any",ClassRules!$B$18=$C8),NOT(ISNUMBER(SEARCH(", "&amp;$B8&amp;",",", "&amp;ClassRules!$C$18&amp;",")))),1,0)</f>
        <v/>
      </c>
      <c r="S21">
        <f>IF(AND(INDEX(Classes_Calc!$C$45:$L$56,$B8,MATCH(ClassRules!$A$19,Ref_Calc!$AE$3:$AE$12,0))=1,OR(ClassRules!$B$19="any",ClassRules!$B$19=$C8),NOT(ISNUMBER(SEARCH(", "&amp;$B8&amp;",",", "&amp;ClassRules!$C$19&amp;",")))),1,0)</f>
        <v/>
      </c>
    </row>
    <row r="22">
      <c r="A22" t="inlineStr">
        <is>
          <t>Saturn</t>
        </is>
      </c>
      <c r="B22">
        <f>IF(AND(INDEX(Classes_Calc!$C$45:$L$56,$B9,MATCH(ClassRules!$A$2,Ref_Calc!$AE$3:$AE$12,0))=1,OR(ClassRules!$B$2="any",ClassRules!$B$2=$C9),NOT(ISNUMBER(SEARCH(", "&amp;$B9&amp;",",", "&amp;ClassRules!$C$2&amp;",")))),1,0)</f>
        <v/>
      </c>
      <c r="C22">
        <f>IF(AND(INDEX(Classes_Calc!$C$45:$L$56,$B9,MATCH(ClassRules!$A$3,Ref_Calc!$AE$3:$AE$12,0))=1,OR(ClassRules!$B$3="any",ClassRules!$B$3=$C9),NOT(ISNUMBER(SEARCH(", "&amp;$B9&amp;",",", "&amp;ClassRules!$C$3&amp;",")))),1,0)</f>
        <v/>
      </c>
      <c r="D22">
        <f>IF(AND(INDEX(Classes_Calc!$C$45:$L$56,$B9,MATCH(ClassRules!$A$4,Ref_Calc!$AE$3:$AE$12,0))=1,OR(ClassRules!$B$4="any",ClassRules!$B$4=$C9),NOT(ISNUMBER(SEARCH(", "&amp;$B9&amp;",",", "&amp;ClassRules!$C$4&amp;",")))),1,0)</f>
        <v/>
      </c>
      <c r="E22">
        <f>IF(AND(INDEX(Classes_Calc!$C$45:$L$56,$B9,MATCH(ClassRules!$A$5,Ref_Calc!$AE$3:$AE$12,0))=1,OR(ClassRules!$B$5="any",ClassRules!$B$5=$C9),NOT(ISNUMBER(SEARCH(", "&amp;$B9&amp;",",", "&amp;ClassRules!$C$5&amp;",")))),1,0)</f>
        <v/>
      </c>
      <c r="F22">
        <f>IF(AND(INDEX(Classes_Calc!$C$45:$L$56,$B9,MATCH(ClassRules!$A$6,Ref_Calc!$AE$3:$AE$12,0))=1,OR(ClassRules!$B$6="any",ClassRules!$B$6=$C9),NOT(ISNUMBER(SEARCH(", "&amp;$B9&amp;",",", "&amp;ClassRules!$C$6&amp;",")))),1,0)</f>
        <v/>
      </c>
      <c r="G22">
        <f>IF(AND(INDEX(Classes_Calc!$C$45:$L$56,$B9,MATCH(ClassRules!$A$7,Ref_Calc!$AE$3:$AE$12,0))=1,OR(ClassRules!$B$7="any",ClassRules!$B$7=$C9),NOT(ISNUMBER(SEARCH(", "&amp;$B9&amp;",",", "&amp;ClassRules!$C$7&amp;",")))),1,0)</f>
        <v/>
      </c>
      <c r="H22">
        <f>IF(AND(INDEX(Classes_Calc!$C$45:$L$56,$B9,MATCH(ClassRules!$A$8,Ref_Calc!$AE$3:$AE$12,0))=1,OR(ClassRules!$B$8="any",ClassRules!$B$8=$C9),NOT(ISNUMBER(SEARCH(", "&amp;$B9&amp;",",", "&amp;ClassRules!$C$8&amp;",")))),1,0)</f>
        <v/>
      </c>
      <c r="I22">
        <f>IF(AND(INDEX(Classes_Calc!$C$45:$L$56,$B9,MATCH(ClassRules!$A$9,Ref_Calc!$AE$3:$AE$12,0))=1,OR(ClassRules!$B$9="any",ClassRules!$B$9=$C9),NOT(ISNUMBER(SEARCH(", "&amp;$B9&amp;",",", "&amp;ClassRules!$C$9&amp;",")))),1,0)</f>
        <v/>
      </c>
      <c r="J22">
        <f>IF(AND(INDEX(Classes_Calc!$C$45:$L$56,$B9,MATCH(ClassRules!$A$10,Ref_Calc!$AE$3:$AE$12,0))=1,OR(ClassRules!$B$10="any",ClassRules!$B$10=$C9),NOT(ISNUMBER(SEARCH(", "&amp;$B9&amp;",",", "&amp;ClassRules!$C$10&amp;",")))),1,0)</f>
        <v/>
      </c>
      <c r="K22">
        <f>IF(AND(INDEX(Classes_Calc!$C$45:$L$56,$B9,MATCH(ClassRules!$A$11,Ref_Calc!$AE$3:$AE$12,0))=1,OR(ClassRules!$B$11="any",ClassRules!$B$11=$C9),NOT(ISNUMBER(SEARCH(", "&amp;$B9&amp;",",", "&amp;ClassRules!$C$11&amp;",")))),1,0)</f>
        <v/>
      </c>
      <c r="L22">
        <f>IF(AND(INDEX(Classes_Calc!$C$45:$L$56,$B9,MATCH(ClassRules!$A$12,Ref_Calc!$AE$3:$AE$12,0))=1,OR(ClassRules!$B$12="any",ClassRules!$B$12=$C9),NOT(ISNUMBER(SEARCH(", "&amp;$B9&amp;",",", "&amp;ClassRules!$C$12&amp;",")))),1,0)</f>
        <v/>
      </c>
      <c r="M22">
        <f>IF(AND(INDEX(Classes_Calc!$C$45:$L$56,$B9,MATCH(ClassRules!$A$13,Ref_Calc!$AE$3:$AE$12,0))=1,OR(ClassRules!$B$13="any",ClassRules!$B$13=$C9),NOT(ISNUMBER(SEARCH(", "&amp;$B9&amp;",",", "&amp;ClassRules!$C$13&amp;",")))),1,0)</f>
        <v/>
      </c>
      <c r="N22">
        <f>IF(AND(INDEX(Classes_Calc!$C$45:$L$56,$B9,MATCH(ClassRules!$A$14,Ref_Calc!$AE$3:$AE$12,0))=1,OR(ClassRules!$B$14="any",ClassRules!$B$14=$C9),NOT(ISNUMBER(SEARCH(", "&amp;$B9&amp;",",", "&amp;ClassRules!$C$14&amp;",")))),1,0)</f>
        <v/>
      </c>
      <c r="O22">
        <f>IF(AND(INDEX(Classes_Calc!$C$45:$L$56,$B9,MATCH(ClassRules!$A$15,Ref_Calc!$AE$3:$AE$12,0))=1,OR(ClassRules!$B$15="any",ClassRules!$B$15=$C9),NOT(ISNUMBER(SEARCH(", "&amp;$B9&amp;",",", "&amp;ClassRules!$C$15&amp;",")))),1,0)</f>
        <v/>
      </c>
      <c r="P22">
        <f>IF(AND(INDEX(Classes_Calc!$C$45:$L$56,$B9,MATCH(ClassRules!$A$16,Ref_Calc!$AE$3:$AE$12,0))=1,OR(ClassRules!$B$16="any",ClassRules!$B$16=$C9),NOT(ISNUMBER(SEARCH(", "&amp;$B9&amp;",",", "&amp;ClassRules!$C$16&amp;",")))),1,0)</f>
        <v/>
      </c>
      <c r="Q22">
        <f>IF(AND(INDEX(Classes_Calc!$C$45:$L$56,$B9,MATCH(ClassRules!$A$17,Ref_Calc!$AE$3:$AE$12,0))=1,OR(ClassRules!$B$17="any",ClassRules!$B$17=$C9),NOT(ISNUMBER(SEARCH(", "&amp;$B9&amp;",",", "&amp;ClassRules!$C$17&amp;",")))),1,0)</f>
        <v/>
      </c>
      <c r="R22">
        <f>IF(AND(INDEX(Classes_Calc!$C$45:$L$56,$B9,MATCH(ClassRules!$A$18,Ref_Calc!$AE$3:$AE$12,0))=1,OR(ClassRules!$B$18="any",ClassRules!$B$18=$C9),NOT(ISNUMBER(SEARCH(", "&amp;$B9&amp;",",", "&amp;ClassRules!$C$18&amp;",")))),1,0)</f>
        <v/>
      </c>
      <c r="S22">
        <f>IF(AND(INDEX(Classes_Calc!$C$45:$L$56,$B9,MATCH(ClassRules!$A$19,Ref_Calc!$AE$3:$AE$12,0))=1,OR(ClassRules!$B$19="any",ClassRules!$B$19=$C9),NOT(ISNUMBER(SEARCH(", "&amp;$B9&amp;",",", "&amp;ClassRules!$C$19&amp;",")))),1,0)</f>
        <v/>
      </c>
    </row>
    <row r="23">
      <c r="A23" t="inlineStr">
        <is>
          <t>Rahu</t>
        </is>
      </c>
      <c r="B23">
        <f>IF(AND(INDEX(Classes_Calc!$C$45:$L$56,$B10,MATCH(ClassRules!$A$2,Ref_Calc!$AE$3:$AE$12,0))=1,OR(ClassRules!$B$2="any",ClassRules!$B$2=$C10),NOT(ISNUMBER(SEARCH(", "&amp;$B10&amp;",",", "&amp;ClassRules!$C$2&amp;",")))),1,0)</f>
        <v/>
      </c>
      <c r="C23">
        <f>IF(AND(INDEX(Classes_Calc!$C$45:$L$56,$B10,MATCH(ClassRules!$A$3,Ref_Calc!$AE$3:$AE$12,0))=1,OR(ClassRules!$B$3="any",ClassRules!$B$3=$C10),NOT(ISNUMBER(SEARCH(", "&amp;$B10&amp;",",", "&amp;ClassRules!$C$3&amp;",")))),1,0)</f>
        <v/>
      </c>
      <c r="D23">
        <f>IF(AND(INDEX(Classes_Calc!$C$45:$L$56,$B10,MATCH(ClassRules!$A$4,Ref_Calc!$AE$3:$AE$12,0))=1,OR(ClassRules!$B$4="any",ClassRules!$B$4=$C10),NOT(ISNUMBER(SEARCH(", "&amp;$B10&amp;",",", "&amp;ClassRules!$C$4&amp;",")))),1,0)</f>
        <v/>
      </c>
      <c r="E23">
        <f>IF(AND(INDEX(Classes_Calc!$C$45:$L$56,$B10,MATCH(ClassRules!$A$5,Ref_Calc!$AE$3:$AE$12,0))=1,OR(ClassRules!$B$5="any",ClassRules!$B$5=$C10),NOT(ISNUMBER(SEARCH(", "&amp;$B10&amp;",",", "&amp;ClassRules!$C$5&amp;",")))),1,0)</f>
        <v/>
      </c>
      <c r="F23">
        <f>IF(AND(INDEX(Classes_Calc!$C$45:$L$56,$B10,MATCH(ClassRules!$A$6,Ref_Calc!$AE$3:$AE$12,0))=1,OR(ClassRules!$B$6="any",ClassRules!$B$6=$C10),NOT(ISNUMBER(SEARCH(", "&amp;$B10&amp;",",", "&amp;ClassRules!$C$6&amp;",")))),1,0)</f>
        <v/>
      </c>
      <c r="G23">
        <f>IF(AND(INDEX(Classes_Calc!$C$45:$L$56,$B10,MATCH(ClassRules!$A$7,Ref_Calc!$AE$3:$AE$12,0))=1,OR(ClassRules!$B$7="any",ClassRules!$B$7=$C10),NOT(ISNUMBER(SEARCH(", "&amp;$B10&amp;",",", "&amp;ClassRules!$C$7&amp;",")))),1,0)</f>
        <v/>
      </c>
      <c r="H23">
        <f>IF(AND(INDEX(Classes_Calc!$C$45:$L$56,$B10,MATCH(ClassRules!$A$8,Ref_Calc!$AE$3:$AE$12,0))=1,OR(ClassRules!$B$8="any",ClassRules!$B$8=$C10),NOT(ISNUMBER(SEARCH(", "&amp;$B10&amp;",",", "&amp;ClassRules!$C$8&amp;",")))),1,0)</f>
        <v/>
      </c>
      <c r="I23">
        <f>IF(AND(INDEX(Classes_Calc!$C$45:$L$56,$B10,MATCH(ClassRules!$A$9,Ref_Calc!$AE$3:$AE$12,0))=1,OR(ClassRules!$B$9="any",ClassRules!$B$9=$C10),NOT(ISNUMBER(SEARCH(", "&amp;$B10&amp;",",", "&amp;ClassRules!$C$9&amp;",")))),1,0)</f>
        <v/>
      </c>
      <c r="J23">
        <f>IF(AND(INDEX(Classes_Calc!$C$45:$L$56,$B10,MATCH(ClassRules!$A$10,Ref_Calc!$AE$3:$AE$12,0))=1,OR(ClassRules!$B$10="any",ClassRules!$B$10=$C10),NOT(ISNUMBER(SEARCH(", "&amp;$B10&amp;",",", "&amp;ClassRules!$C$10&amp;",")))),1,0)</f>
        <v/>
      </c>
      <c r="K23">
        <f>IF(AND(INDEX(Classes_Calc!$C$45:$L$56,$B10,MATCH(ClassRules!$A$11,Ref_Calc!$AE$3:$AE$12,0))=1,OR(ClassRules!$B$11="any",ClassRules!$B$11=$C10),NOT(ISNUMBER(SEARCH(", "&amp;$B10&amp;",",", "&amp;ClassRules!$C$11&amp;",")))),1,0)</f>
        <v/>
      </c>
      <c r="L23">
        <f>IF(AND(INDEX(Classes_Calc!$C$45:$L$56,$B10,MATCH(ClassRules!$A$12,Ref_Calc!$AE$3:$AE$12,0))=1,OR(ClassRules!$B$12="any",ClassRules!$B$12=$C10),NOT(ISNUMBER(SEARCH(", "&amp;$B10&amp;",",", "&amp;ClassRules!$C$12&amp;",")))),1,0)</f>
        <v/>
      </c>
      <c r="M23">
        <f>IF(AND(INDEX(Classes_Calc!$C$45:$L$56,$B10,MATCH(ClassRules!$A$13,Ref_Calc!$AE$3:$AE$12,0))=1,OR(ClassRules!$B$13="any",ClassRules!$B$13=$C10),NOT(ISNUMBER(SEARCH(", "&amp;$B10&amp;",",", "&amp;ClassRules!$C$13&amp;",")))),1,0)</f>
        <v/>
      </c>
      <c r="N23">
        <f>IF(AND(INDEX(Classes_Calc!$C$45:$L$56,$B10,MATCH(ClassRules!$A$14,Ref_Calc!$AE$3:$AE$12,0))=1,OR(ClassRules!$B$14="any",ClassRules!$B$14=$C10),NOT(ISNUMBER(SEARCH(", "&amp;$B10&amp;",",", "&amp;ClassRules!$C$14&amp;",")))),1,0)</f>
        <v/>
      </c>
      <c r="O23">
        <f>IF(AND(INDEX(Classes_Calc!$C$45:$L$56,$B10,MATCH(ClassRules!$A$15,Ref_Calc!$AE$3:$AE$12,0))=1,OR(ClassRules!$B$15="any",ClassRules!$B$15=$C10),NOT(ISNUMBER(SEARCH(", "&amp;$B10&amp;",",", "&amp;ClassRules!$C$15&amp;",")))),1,0)</f>
        <v/>
      </c>
      <c r="P23">
        <f>IF(AND(INDEX(Classes_Calc!$C$45:$L$56,$B10,MATCH(ClassRules!$A$16,Ref_Calc!$AE$3:$AE$12,0))=1,OR(ClassRules!$B$16="any",ClassRules!$B$16=$C10),NOT(ISNUMBER(SEARCH(", "&amp;$B10&amp;",",", "&amp;ClassRules!$C$16&amp;",")))),1,0)</f>
        <v/>
      </c>
      <c r="Q23">
        <f>IF(AND(INDEX(Classes_Calc!$C$45:$L$56,$B10,MATCH(ClassRules!$A$17,Ref_Calc!$AE$3:$AE$12,0))=1,OR(ClassRules!$B$17="any",ClassRules!$B$17=$C10),NOT(ISNUMBER(SEARCH(", "&amp;$B10&amp;",",", "&amp;ClassRules!$C$17&amp;",")))),1,0)</f>
        <v/>
      </c>
      <c r="R23">
        <f>IF(AND(INDEX(Classes_Calc!$C$45:$L$56,$B10,MATCH(ClassRules!$A$18,Ref_Calc!$AE$3:$AE$12,0))=1,OR(ClassRules!$B$18="any",ClassRules!$B$18=$C10),NOT(ISNUMBER(SEARCH(", "&amp;$B10&amp;",",", "&amp;ClassRules!$C$18&amp;",")))),1,0)</f>
        <v/>
      </c>
      <c r="S23">
        <f>IF(AND(INDEX(Classes_Calc!$C$45:$L$56,$B10,MATCH(ClassRules!$A$19,Ref_Calc!$AE$3:$AE$12,0))=1,OR(ClassRules!$B$19="any",ClassRules!$B$19=$C10),NOT(ISNUMBER(SEARCH(", "&amp;$B10&amp;",",", "&amp;ClassRules!$C$19&amp;",")))),1,0)</f>
        <v/>
      </c>
    </row>
    <row r="24">
      <c r="A24" t="inlineStr">
        <is>
          <t>Ketu</t>
        </is>
      </c>
      <c r="B24">
        <f>IF(AND(INDEX(Classes_Calc!$C$45:$L$56,$B11,MATCH(ClassRules!$A$2,Ref_Calc!$AE$3:$AE$12,0))=1,OR(ClassRules!$B$2="any",ClassRules!$B$2=$C11),NOT(ISNUMBER(SEARCH(", "&amp;$B11&amp;",",", "&amp;ClassRules!$C$2&amp;",")))),1,0)</f>
        <v/>
      </c>
      <c r="C24">
        <f>IF(AND(INDEX(Classes_Calc!$C$45:$L$56,$B11,MATCH(ClassRules!$A$3,Ref_Calc!$AE$3:$AE$12,0))=1,OR(ClassRules!$B$3="any",ClassRules!$B$3=$C11),NOT(ISNUMBER(SEARCH(", "&amp;$B11&amp;",",", "&amp;ClassRules!$C$3&amp;",")))),1,0)</f>
        <v/>
      </c>
      <c r="D24">
        <f>IF(AND(INDEX(Classes_Calc!$C$45:$L$56,$B11,MATCH(ClassRules!$A$4,Ref_Calc!$AE$3:$AE$12,0))=1,OR(ClassRules!$B$4="any",ClassRules!$B$4=$C11),NOT(ISNUMBER(SEARCH(", "&amp;$B11&amp;",",", "&amp;ClassRules!$C$4&amp;",")))),1,0)</f>
        <v/>
      </c>
      <c r="E24">
        <f>IF(AND(INDEX(Classes_Calc!$C$45:$L$56,$B11,MATCH(ClassRules!$A$5,Ref_Calc!$AE$3:$AE$12,0))=1,OR(ClassRules!$B$5="any",ClassRules!$B$5=$C11),NOT(ISNUMBER(SEARCH(", "&amp;$B11&amp;",",", "&amp;ClassRules!$C$5&amp;",")))),1,0)</f>
        <v/>
      </c>
      <c r="F24">
        <f>IF(AND(INDEX(Classes_Calc!$C$45:$L$56,$B11,MATCH(ClassRules!$A$6,Ref_Calc!$AE$3:$AE$12,0))=1,OR(ClassRules!$B$6="any",ClassRules!$B$6=$C11),NOT(ISNUMBER(SEARCH(", "&amp;$B11&amp;",",", "&amp;ClassRules!$C$6&amp;",")))),1,0)</f>
        <v/>
      </c>
      <c r="G24">
        <f>IF(AND(INDEX(Classes_Calc!$C$45:$L$56,$B11,MATCH(ClassRules!$A$7,Ref_Calc!$AE$3:$AE$12,0))=1,OR(ClassRules!$B$7="any",ClassRules!$B$7=$C11),NOT(ISNUMBER(SEARCH(", "&amp;$B11&amp;",",", "&amp;ClassRules!$C$7&amp;",")))),1,0)</f>
        <v/>
      </c>
      <c r="H24">
        <f>IF(AND(INDEX(Classes_Calc!$C$45:$L$56,$B11,MATCH(ClassRules!$A$8,Ref_Calc!$AE$3:$AE$12,0))=1,OR(ClassRules!$B$8="any",ClassRules!$B$8=$C11),NOT(ISNUMBER(SEARCH(", "&amp;$B11&amp;",",", "&amp;ClassRules!$C$8&amp;",")))),1,0)</f>
        <v/>
      </c>
      <c r="I24">
        <f>IF(AND(INDEX(Classes_Calc!$C$45:$L$56,$B11,MATCH(ClassRules!$A$9,Ref_Calc!$AE$3:$AE$12,0))=1,OR(ClassRules!$B$9="any",ClassRules!$B$9=$C11),NOT(ISNUMBER(SEARCH(", "&amp;$B11&amp;",",", "&amp;ClassRules!$C$9&amp;",")))),1,0)</f>
        <v/>
      </c>
      <c r="J24">
        <f>IF(AND(INDEX(Classes_Calc!$C$45:$L$56,$B11,MATCH(ClassRules!$A$10,Ref_Calc!$AE$3:$AE$12,0))=1,OR(ClassRules!$B$10="any",ClassRules!$B$10=$C11),NOT(ISNUMBER(SEARCH(", "&amp;$B11&amp;",",", "&amp;ClassRules!$C$10&amp;",")))),1,0)</f>
        <v/>
      </c>
      <c r="K24">
        <f>IF(AND(INDEX(Classes_Calc!$C$45:$L$56,$B11,MATCH(ClassRules!$A$11,Ref_Calc!$AE$3:$AE$12,0))=1,OR(ClassRules!$B$11="any",ClassRules!$B$11=$C11),NOT(ISNUMBER(SEARCH(", "&amp;$B11&amp;",",", "&amp;ClassRules!$C$11&amp;",")))),1,0)</f>
        <v/>
      </c>
      <c r="L24">
        <f>IF(AND(INDEX(Classes_Calc!$C$45:$L$56,$B11,MATCH(ClassRules!$A$12,Ref_Calc!$AE$3:$AE$12,0))=1,OR(ClassRules!$B$12="any",ClassRules!$B$12=$C11),NOT(ISNUMBER(SEARCH(", "&amp;$B11&amp;",",", "&amp;ClassRules!$C$12&amp;",")))),1,0)</f>
        <v/>
      </c>
      <c r="M24">
        <f>IF(AND(INDEX(Classes_Calc!$C$45:$L$56,$B11,MATCH(ClassRules!$A$13,Ref_Calc!$AE$3:$AE$12,0))=1,OR(ClassRules!$B$13="any",ClassRules!$B$13=$C11),NOT(ISNUMBER(SEARCH(", "&amp;$B11&amp;",",", "&amp;ClassRules!$C$13&amp;",")))),1,0)</f>
        <v/>
      </c>
      <c r="N24">
        <f>IF(AND(INDEX(Classes_Calc!$C$45:$L$56,$B11,MATCH(ClassRules!$A$14,Ref_Calc!$AE$3:$AE$12,0))=1,OR(ClassRules!$B$14="any",ClassRules!$B$14=$C11),NOT(ISNUMBER(SEARCH(", "&amp;$B11&amp;",",", "&amp;ClassRules!$C$14&amp;",")))),1,0)</f>
        <v/>
      </c>
      <c r="O24">
        <f>IF(AND(INDEX(Classes_Calc!$C$45:$L$56,$B11,MATCH(ClassRules!$A$15,Ref_Calc!$AE$3:$AE$12,0))=1,OR(ClassRules!$B$15="any",ClassRules!$B$15=$C11),NOT(ISNUMBER(SEARCH(", "&amp;$B11&amp;",",", "&amp;ClassRules!$C$15&amp;",")))),1,0)</f>
        <v/>
      </c>
      <c r="P24">
        <f>IF(AND(INDEX(Classes_Calc!$C$45:$L$56,$B11,MATCH(ClassRules!$A$16,Ref_Calc!$AE$3:$AE$12,0))=1,OR(ClassRules!$B$16="any",ClassRules!$B$16=$C11),NOT(ISNUMBER(SEARCH(", "&amp;$B11&amp;",",", "&amp;ClassRules!$C$16&amp;",")))),1,0)</f>
        <v/>
      </c>
      <c r="Q24">
        <f>IF(AND(INDEX(Classes_Calc!$C$45:$L$56,$B11,MATCH(ClassRules!$A$17,Ref_Calc!$AE$3:$AE$12,0))=1,OR(ClassRules!$B$17="any",ClassRules!$B$17=$C11),NOT(ISNUMBER(SEARCH(", "&amp;$B11&amp;",",", "&amp;ClassRules!$C$17&amp;",")))),1,0)</f>
        <v/>
      </c>
      <c r="R24">
        <f>IF(AND(INDEX(Classes_Calc!$C$45:$L$56,$B11,MATCH(ClassRules!$A$18,Ref_Calc!$AE$3:$AE$12,0))=1,OR(ClassRules!$B$18="any",ClassRules!$B$18=$C11),NOT(ISNUMBER(SEARCH(", "&amp;$B11&amp;",",", "&amp;ClassRules!$C$18&amp;",")))),1,0)</f>
        <v/>
      </c>
      <c r="S24">
        <f>IF(AND(INDEX(Classes_Calc!$C$45:$L$56,$B11,MATCH(ClassRules!$A$19,Ref_Calc!$AE$3:$AE$12,0))=1,OR(ClassRules!$B$19="any",ClassRules!$B$19=$C11),NOT(ISNUMBER(SEARCH(", "&amp;$B11&amp;",",", "&amp;ClassRules!$C$19&amp;",")))),1,0)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K2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s>
  <sheetData>
    <row r="1">
      <c r="A1" s="15" t="inlineStr">
        <is>
          <t>Lookup tables copied from index.html (do not edit — rebuild with make_session23_xlsx.py)</t>
        </is>
      </c>
    </row>
    <row r="2">
      <c r="A2" s="13" t="inlineStr">
        <is>
          <t>Sign #</t>
        </is>
      </c>
      <c r="B2" s="13" t="inlineStr">
        <is>
          <t>Rāśi</t>
        </is>
      </c>
      <c r="C2" s="13" t="inlineStr">
        <is>
          <t>English</t>
        </is>
      </c>
      <c r="D2" s="13" t="inlineStr">
        <is>
          <t>Lord</t>
        </is>
      </c>
      <c r="E2" s="13" t="inlineStr">
        <is>
          <t>Mode</t>
        </is>
      </c>
      <c r="G2" s="13" t="inlineStr">
        <is>
          <t>Graha</t>
        </is>
      </c>
      <c r="I2" s="13" t="inlineStr">
        <is>
          <t>Graha</t>
        </is>
      </c>
      <c r="J2" s="13" t="inlineStr">
        <is>
          <t>Exalt rāśi</t>
        </is>
      </c>
      <c r="K2" s="13" t="inlineStr">
        <is>
          <t>Exalt °</t>
        </is>
      </c>
      <c r="L2" s="13" t="inlineStr">
        <is>
          <t>Debil rāśi</t>
        </is>
      </c>
      <c r="M2" s="13" t="inlineStr">
        <is>
          <t>Debil °</t>
        </is>
      </c>
      <c r="N2" s="13" t="inlineStr">
        <is>
          <t>MT rāśi</t>
        </is>
      </c>
      <c r="O2" s="13" t="inlineStr">
        <is>
          <t>MT from °</t>
        </is>
      </c>
      <c r="P2" s="13" t="inlineStr">
        <is>
          <t>MT to °</t>
        </is>
      </c>
      <c r="R2" s="13" t="inlineStr">
        <is>
          <t>sign 0</t>
        </is>
      </c>
      <c r="S2" s="13" t="inlineStr">
        <is>
          <t>sign 1</t>
        </is>
      </c>
      <c r="T2" s="13" t="inlineStr">
        <is>
          <t>sign 2</t>
        </is>
      </c>
      <c r="U2" s="13" t="inlineStr">
        <is>
          <t>sign 3</t>
        </is>
      </c>
      <c r="V2" s="13" t="inlineStr">
        <is>
          <t>sign 4</t>
        </is>
      </c>
      <c r="W2" s="13" t="inlineStr">
        <is>
          <t>sign 5</t>
        </is>
      </c>
      <c r="X2" s="13" t="inlineStr">
        <is>
          <t>sign 6</t>
        </is>
      </c>
      <c r="Y2" s="13" t="inlineStr">
        <is>
          <t>sign 7</t>
        </is>
      </c>
      <c r="Z2" s="13" t="inlineStr">
        <is>
          <t>sign 8</t>
        </is>
      </c>
      <c r="AA2" s="13" t="inlineStr">
        <is>
          <t>sign 9</t>
        </is>
      </c>
      <c r="AB2" s="13" t="inlineStr">
        <is>
          <t>sign 10</t>
        </is>
      </c>
      <c r="AC2" s="13" t="inlineStr">
        <is>
          <t>sign 11</t>
        </is>
      </c>
      <c r="AE2" s="13" t="inlineStr">
        <is>
          <t>Class</t>
        </is>
      </c>
      <c r="AG2" s="13" t="inlineStr">
        <is>
          <t>Daśā order</t>
        </is>
      </c>
      <c r="AH2" s="13" t="inlineStr">
        <is>
          <t>Years</t>
        </is>
      </c>
      <c r="AJ2" s="13" t="inlineStr">
        <is>
          <t>Nakṣatra</t>
        </is>
      </c>
      <c r="AK2" s="13" t="inlineStr">
        <is>
          <t>Lord</t>
        </is>
      </c>
    </row>
    <row r="3">
      <c r="A3" t="n">
        <v>0</v>
      </c>
      <c r="B3" t="inlineStr">
        <is>
          <t>Mesha</t>
        </is>
      </c>
      <c r="C3" t="inlineStr">
        <is>
          <t>Aries</t>
        </is>
      </c>
      <c r="D3" t="inlineStr">
        <is>
          <t>Mars</t>
        </is>
      </c>
      <c r="E3" t="inlineStr">
        <is>
          <t>Chara</t>
        </is>
      </c>
      <c r="G3" t="inlineStr">
        <is>
          <t>Sun</t>
        </is>
      </c>
      <c r="I3" t="inlineStr">
        <is>
          <t>Sun</t>
        </is>
      </c>
      <c r="J3" t="n">
        <v>1</v>
      </c>
      <c r="K3" t="n">
        <v>10</v>
      </c>
      <c r="L3" t="n">
        <v>7</v>
      </c>
      <c r="M3" t="n">
        <v>10</v>
      </c>
      <c r="N3" t="n">
        <v>5</v>
      </c>
      <c r="O3" t="n">
        <v>0</v>
      </c>
      <c r="P3" t="n">
        <v>20</v>
      </c>
      <c r="R3" t="inlineStr">
        <is>
          <t>Exalted</t>
        </is>
      </c>
      <c r="S3" t="inlineStr">
        <is>
          <t>Enemy's House</t>
        </is>
      </c>
      <c r="T3" t="inlineStr">
        <is>
          <t>Neutral House</t>
        </is>
      </c>
      <c r="U3" t="inlineStr">
        <is>
          <t>Friend's House</t>
        </is>
      </c>
      <c r="V3" t="inlineStr">
        <is>
          <t>Own (Moolatrikona)</t>
        </is>
      </c>
      <c r="W3" t="inlineStr">
        <is>
          <t>Neutral House</t>
        </is>
      </c>
      <c r="X3" t="inlineStr">
        <is>
          <t>Debilitated</t>
        </is>
      </c>
      <c r="Y3" t="inlineStr">
        <is>
          <t>Friend's House</t>
        </is>
      </c>
      <c r="Z3" t="inlineStr">
        <is>
          <t>Friend's House</t>
        </is>
      </c>
      <c r="AA3" t="inlineStr">
        <is>
          <t>Enemy's House</t>
        </is>
      </c>
      <c r="AB3" t="inlineStr">
        <is>
          <t>Enemy's House</t>
        </is>
      </c>
      <c r="AC3" t="inlineStr">
        <is>
          <t>Friend's House</t>
        </is>
      </c>
      <c r="AE3" t="inlineStr">
        <is>
          <t>Kendra</t>
        </is>
      </c>
      <c r="AG3" t="inlineStr">
        <is>
          <t>Ketu</t>
        </is>
      </c>
      <c r="AH3" t="n">
        <v>7</v>
      </c>
      <c r="AJ3" t="inlineStr">
        <is>
          <t>Ashwini</t>
        </is>
      </c>
      <c r="AK3" t="inlineStr">
        <is>
          <t>Ketu</t>
        </is>
      </c>
    </row>
    <row r="4">
      <c r="A4" t="n">
        <v>1</v>
      </c>
      <c r="B4" t="inlineStr">
        <is>
          <t>Vrishaba</t>
        </is>
      </c>
      <c r="C4" t="inlineStr">
        <is>
          <t>Taurus</t>
        </is>
      </c>
      <c r="D4" t="inlineStr">
        <is>
          <t>Venus</t>
        </is>
      </c>
      <c r="E4" t="inlineStr">
        <is>
          <t>Sthira</t>
        </is>
      </c>
      <c r="G4" t="inlineStr">
        <is>
          <t>Moon</t>
        </is>
      </c>
      <c r="I4" t="inlineStr">
        <is>
          <t>Moon</t>
        </is>
      </c>
      <c r="J4" t="n">
        <v>2</v>
      </c>
      <c r="K4" t="n">
        <v>3</v>
      </c>
      <c r="L4" t="n">
        <v>8</v>
      </c>
      <c r="M4" t="n">
        <v>3</v>
      </c>
      <c r="N4" t="n">
        <v>2</v>
      </c>
      <c r="O4" t="n">
        <v>3</v>
      </c>
      <c r="P4" t="n">
        <v>30</v>
      </c>
      <c r="R4" t="inlineStr">
        <is>
          <t>Neutral House</t>
        </is>
      </c>
      <c r="S4" t="inlineStr">
        <is>
          <t>Exalted</t>
        </is>
      </c>
      <c r="T4" t="inlineStr">
        <is>
          <t>Friend's House</t>
        </is>
      </c>
      <c r="U4" t="inlineStr">
        <is>
          <t>Own House</t>
        </is>
      </c>
      <c r="V4" t="inlineStr">
        <is>
          <t>Friend's House</t>
        </is>
      </c>
      <c r="W4" t="inlineStr">
        <is>
          <t>Friend's House</t>
        </is>
      </c>
      <c r="X4" t="inlineStr">
        <is>
          <t>Neutral House</t>
        </is>
      </c>
      <c r="Y4" t="inlineStr">
        <is>
          <t>Debilitated</t>
        </is>
      </c>
      <c r="Z4" t="inlineStr">
        <is>
          <t>Neutral House</t>
        </is>
      </c>
      <c r="AA4" t="inlineStr">
        <is>
          <t>Neutral House</t>
        </is>
      </c>
      <c r="AB4" t="inlineStr">
        <is>
          <t>Neutral House</t>
        </is>
      </c>
      <c r="AC4" t="inlineStr">
        <is>
          <t>Neutral House</t>
        </is>
      </c>
      <c r="AE4" t="inlineStr">
        <is>
          <t>Trikona</t>
        </is>
      </c>
      <c r="AG4" t="inlineStr">
        <is>
          <t>Venus</t>
        </is>
      </c>
      <c r="AH4" t="n">
        <v>20</v>
      </c>
      <c r="AJ4" t="inlineStr">
        <is>
          <t>Bharani</t>
        </is>
      </c>
      <c r="AK4" t="inlineStr">
        <is>
          <t>Venus</t>
        </is>
      </c>
    </row>
    <row r="5">
      <c r="A5" t="n">
        <v>2</v>
      </c>
      <c r="B5" t="inlineStr">
        <is>
          <t>Mithuna</t>
        </is>
      </c>
      <c r="C5" t="inlineStr">
        <is>
          <t>Gemini</t>
        </is>
      </c>
      <c r="D5" t="inlineStr">
        <is>
          <t>Mercury</t>
        </is>
      </c>
      <c r="E5" t="inlineStr">
        <is>
          <t>Dwisabhava</t>
        </is>
      </c>
      <c r="G5" t="inlineStr">
        <is>
          <t>Mars</t>
        </is>
      </c>
      <c r="I5" t="inlineStr">
        <is>
          <t>Mars</t>
        </is>
      </c>
      <c r="J5" t="n">
        <v>10</v>
      </c>
      <c r="K5" t="n">
        <v>28</v>
      </c>
      <c r="L5" t="n">
        <v>4</v>
      </c>
      <c r="M5" t="n">
        <v>28</v>
      </c>
      <c r="N5" t="n">
        <v>1</v>
      </c>
      <c r="O5" t="n">
        <v>0</v>
      </c>
      <c r="P5" t="n">
        <v>12</v>
      </c>
      <c r="R5" t="inlineStr">
        <is>
          <t>Own (Moolatrikona)</t>
        </is>
      </c>
      <c r="S5" t="inlineStr">
        <is>
          <t>Neutral House</t>
        </is>
      </c>
      <c r="T5" t="inlineStr">
        <is>
          <t>Enemy's House</t>
        </is>
      </c>
      <c r="U5" t="inlineStr">
        <is>
          <t>Debilitated</t>
        </is>
      </c>
      <c r="V5" t="inlineStr">
        <is>
          <t>Friend's House</t>
        </is>
      </c>
      <c r="W5" t="inlineStr">
        <is>
          <t>Enemy's House</t>
        </is>
      </c>
      <c r="X5" t="inlineStr">
        <is>
          <t>Neutral House</t>
        </is>
      </c>
      <c r="Y5" t="inlineStr">
        <is>
          <t>Own House</t>
        </is>
      </c>
      <c r="Z5" t="inlineStr">
        <is>
          <t>Friend's House</t>
        </is>
      </c>
      <c r="AA5" t="inlineStr">
        <is>
          <t>Exalted</t>
        </is>
      </c>
      <c r="AB5" t="inlineStr">
        <is>
          <t>Neutral House</t>
        </is>
      </c>
      <c r="AC5" t="inlineStr">
        <is>
          <t>Friend's House</t>
        </is>
      </c>
      <c r="AE5" t="inlineStr">
        <is>
          <t>Panapara</t>
        </is>
      </c>
      <c r="AG5" t="inlineStr">
        <is>
          <t>Sun</t>
        </is>
      </c>
      <c r="AH5" t="n">
        <v>6</v>
      </c>
      <c r="AJ5" t="inlineStr">
        <is>
          <t>Krittika</t>
        </is>
      </c>
      <c r="AK5" t="inlineStr">
        <is>
          <t>Sun</t>
        </is>
      </c>
    </row>
    <row r="6">
      <c r="A6" t="n">
        <v>3</v>
      </c>
      <c r="B6" t="inlineStr">
        <is>
          <t>Karkataka</t>
        </is>
      </c>
      <c r="C6" t="inlineStr">
        <is>
          <t>Cancer</t>
        </is>
      </c>
      <c r="D6" t="inlineStr">
        <is>
          <t>Moon</t>
        </is>
      </c>
      <c r="E6" t="inlineStr">
        <is>
          <t>Chara</t>
        </is>
      </c>
      <c r="G6" t="inlineStr">
        <is>
          <t>Mercury</t>
        </is>
      </c>
      <c r="I6" t="inlineStr">
        <is>
          <t>Mercury</t>
        </is>
      </c>
      <c r="J6" t="n">
        <v>6</v>
      </c>
      <c r="K6" t="n">
        <v>15</v>
      </c>
      <c r="L6" t="n">
        <v>12</v>
      </c>
      <c r="M6" t="n">
        <v>15</v>
      </c>
      <c r="N6" t="n">
        <v>6</v>
      </c>
      <c r="O6" t="n">
        <v>15</v>
      </c>
      <c r="P6" t="n">
        <v>20</v>
      </c>
      <c r="R6" t="inlineStr">
        <is>
          <t>Neutral House</t>
        </is>
      </c>
      <c r="S6" t="inlineStr">
        <is>
          <t>Friend's House</t>
        </is>
      </c>
      <c r="T6" t="inlineStr">
        <is>
          <t>Own House</t>
        </is>
      </c>
      <c r="U6" t="inlineStr">
        <is>
          <t>Enemy's House</t>
        </is>
      </c>
      <c r="V6" t="inlineStr">
        <is>
          <t>Friend's House</t>
        </is>
      </c>
      <c r="W6" t="inlineStr">
        <is>
          <t>Exalted</t>
        </is>
      </c>
      <c r="X6" t="inlineStr">
        <is>
          <t>Friend's House</t>
        </is>
      </c>
      <c r="Y6" t="inlineStr">
        <is>
          <t>Neutral House</t>
        </is>
      </c>
      <c r="Z6" t="inlineStr">
        <is>
          <t>Neutral House</t>
        </is>
      </c>
      <c r="AA6" t="inlineStr">
        <is>
          <t>Neutral House</t>
        </is>
      </c>
      <c r="AB6" t="inlineStr">
        <is>
          <t>Neutral House</t>
        </is>
      </c>
      <c r="AC6" t="inlineStr">
        <is>
          <t>Debilitated</t>
        </is>
      </c>
      <c r="AE6" t="inlineStr">
        <is>
          <t>Apoklima</t>
        </is>
      </c>
      <c r="AG6" t="inlineStr">
        <is>
          <t>Moon</t>
        </is>
      </c>
      <c r="AH6" t="n">
        <v>10</v>
      </c>
      <c r="AJ6" t="inlineStr">
        <is>
          <t>Rohini</t>
        </is>
      </c>
      <c r="AK6" t="inlineStr">
        <is>
          <t>Moon</t>
        </is>
      </c>
    </row>
    <row r="7">
      <c r="A7" t="n">
        <v>4</v>
      </c>
      <c r="B7" t="inlineStr">
        <is>
          <t>Simha</t>
        </is>
      </c>
      <c r="C7" t="inlineStr">
        <is>
          <t>Leo</t>
        </is>
      </c>
      <c r="D7" t="inlineStr">
        <is>
          <t>Sun</t>
        </is>
      </c>
      <c r="E7" t="inlineStr">
        <is>
          <t>Sthira</t>
        </is>
      </c>
      <c r="G7" t="inlineStr">
        <is>
          <t>Jupiter</t>
        </is>
      </c>
      <c r="I7" t="inlineStr">
        <is>
          <t>Jupiter</t>
        </is>
      </c>
      <c r="J7" t="n">
        <v>4</v>
      </c>
      <c r="K7" t="n">
        <v>5</v>
      </c>
      <c r="L7" t="n">
        <v>10</v>
      </c>
      <c r="M7" t="n">
        <v>5</v>
      </c>
      <c r="N7" t="n">
        <v>9</v>
      </c>
      <c r="O7" t="n">
        <v>0</v>
      </c>
      <c r="P7" t="n">
        <v>10</v>
      </c>
      <c r="R7" t="inlineStr">
        <is>
          <t>Friend's House</t>
        </is>
      </c>
      <c r="S7" t="inlineStr">
        <is>
          <t>Enemy's House</t>
        </is>
      </c>
      <c r="T7" t="inlineStr">
        <is>
          <t>Enemy's House</t>
        </is>
      </c>
      <c r="U7" t="inlineStr">
        <is>
          <t>Exalted</t>
        </is>
      </c>
      <c r="V7" t="inlineStr">
        <is>
          <t>Friend's House</t>
        </is>
      </c>
      <c r="W7" t="inlineStr">
        <is>
          <t>Enemy's House</t>
        </is>
      </c>
      <c r="X7" t="inlineStr">
        <is>
          <t>Enemy's House</t>
        </is>
      </c>
      <c r="Y7" t="inlineStr">
        <is>
          <t>Friend's House</t>
        </is>
      </c>
      <c r="Z7" t="inlineStr">
        <is>
          <t>Own (Moolatrikona)</t>
        </is>
      </c>
      <c r="AA7" t="inlineStr">
        <is>
          <t>Debilitated</t>
        </is>
      </c>
      <c r="AB7" t="inlineStr">
        <is>
          <t>Neutral House</t>
        </is>
      </c>
      <c r="AC7" t="inlineStr">
        <is>
          <t>Own House</t>
        </is>
      </c>
      <c r="AE7" t="inlineStr">
        <is>
          <t>Upachaya</t>
        </is>
      </c>
      <c r="AG7" t="inlineStr">
        <is>
          <t>Mars</t>
        </is>
      </c>
      <c r="AH7" t="n">
        <v>7</v>
      </c>
      <c r="AJ7" t="inlineStr">
        <is>
          <t>Mrigashira</t>
        </is>
      </c>
      <c r="AK7" t="inlineStr">
        <is>
          <t>Mars</t>
        </is>
      </c>
    </row>
    <row r="8">
      <c r="A8" t="n">
        <v>5</v>
      </c>
      <c r="B8" t="inlineStr">
        <is>
          <t>Kanya</t>
        </is>
      </c>
      <c r="C8" t="inlineStr">
        <is>
          <t>Virgo</t>
        </is>
      </c>
      <c r="D8" t="inlineStr">
        <is>
          <t>Mercury</t>
        </is>
      </c>
      <c r="E8" t="inlineStr">
        <is>
          <t>Dwisabhava</t>
        </is>
      </c>
      <c r="G8" t="inlineStr">
        <is>
          <t>Venus</t>
        </is>
      </c>
      <c r="I8" t="inlineStr">
        <is>
          <t>Venus</t>
        </is>
      </c>
      <c r="J8" t="n">
        <v>12</v>
      </c>
      <c r="K8" t="n">
        <v>27</v>
      </c>
      <c r="L8" t="n">
        <v>6</v>
      </c>
      <c r="M8" t="n">
        <v>27</v>
      </c>
      <c r="N8" t="n">
        <v>7</v>
      </c>
      <c r="O8" t="n">
        <v>0</v>
      </c>
      <c r="P8" t="n">
        <v>15</v>
      </c>
      <c r="R8" t="inlineStr">
        <is>
          <t>Neutral House</t>
        </is>
      </c>
      <c r="S8" t="inlineStr">
        <is>
          <t>Own House</t>
        </is>
      </c>
      <c r="T8" t="inlineStr">
        <is>
          <t>Friend's House</t>
        </is>
      </c>
      <c r="U8" t="inlineStr">
        <is>
          <t>Enemy's House</t>
        </is>
      </c>
      <c r="V8" t="inlineStr">
        <is>
          <t>Enemy's House</t>
        </is>
      </c>
      <c r="W8" t="inlineStr">
        <is>
          <t>Debilitated</t>
        </is>
      </c>
      <c r="X8" t="inlineStr">
        <is>
          <t>Own (Moolatrikona)</t>
        </is>
      </c>
      <c r="Y8" t="inlineStr">
        <is>
          <t>Neutral House</t>
        </is>
      </c>
      <c r="Z8" t="inlineStr">
        <is>
          <t>Neutral House</t>
        </is>
      </c>
      <c r="AA8" t="inlineStr">
        <is>
          <t>Friend's House</t>
        </is>
      </c>
      <c r="AB8" t="inlineStr">
        <is>
          <t>Friend's House</t>
        </is>
      </c>
      <c r="AC8" t="inlineStr">
        <is>
          <t>Exalted</t>
        </is>
      </c>
      <c r="AE8" t="inlineStr">
        <is>
          <t>Apachaya</t>
        </is>
      </c>
      <c r="AG8" t="inlineStr">
        <is>
          <t>Rahu</t>
        </is>
      </c>
      <c r="AH8" t="n">
        <v>18</v>
      </c>
      <c r="AJ8" t="inlineStr">
        <is>
          <t>Ardra</t>
        </is>
      </c>
      <c r="AK8" t="inlineStr">
        <is>
          <t>Rahu</t>
        </is>
      </c>
    </row>
    <row r="9">
      <c r="A9" t="n">
        <v>6</v>
      </c>
      <c r="B9" t="inlineStr">
        <is>
          <t>Tula</t>
        </is>
      </c>
      <c r="C9" t="inlineStr">
        <is>
          <t>Libra</t>
        </is>
      </c>
      <c r="D9" t="inlineStr">
        <is>
          <t>Venus</t>
        </is>
      </c>
      <c r="E9" t="inlineStr">
        <is>
          <t>Chara</t>
        </is>
      </c>
      <c r="G9" t="inlineStr">
        <is>
          <t>Saturn</t>
        </is>
      </c>
      <c r="I9" t="inlineStr">
        <is>
          <t>Saturn</t>
        </is>
      </c>
      <c r="J9" t="n">
        <v>7</v>
      </c>
      <c r="K9" t="n">
        <v>20</v>
      </c>
      <c r="L9" t="n">
        <v>1</v>
      </c>
      <c r="M9" t="n">
        <v>20</v>
      </c>
      <c r="N9" t="n">
        <v>11</v>
      </c>
      <c r="O9" t="n">
        <v>0</v>
      </c>
      <c r="P9" t="n">
        <v>20</v>
      </c>
      <c r="R9" t="inlineStr">
        <is>
          <t>Debilitated</t>
        </is>
      </c>
      <c r="S9" t="inlineStr">
        <is>
          <t>Friend's House</t>
        </is>
      </c>
      <c r="T9" t="inlineStr">
        <is>
          <t>Friend's House</t>
        </is>
      </c>
      <c r="U9" t="inlineStr">
        <is>
          <t>Enemy's House</t>
        </is>
      </c>
      <c r="V9" t="inlineStr">
        <is>
          <t>Enemy's House</t>
        </is>
      </c>
      <c r="W9" t="inlineStr">
        <is>
          <t>Friend's House</t>
        </is>
      </c>
      <c r="X9" t="inlineStr">
        <is>
          <t>Exalted</t>
        </is>
      </c>
      <c r="Y9" t="inlineStr">
        <is>
          <t>Enemy's House</t>
        </is>
      </c>
      <c r="Z9" t="inlineStr">
        <is>
          <t>Neutral House</t>
        </is>
      </c>
      <c r="AA9" t="inlineStr">
        <is>
          <t>Own House</t>
        </is>
      </c>
      <c r="AB9" t="inlineStr">
        <is>
          <t>Own (Moolatrikona)</t>
        </is>
      </c>
      <c r="AC9" t="inlineStr">
        <is>
          <t>Neutral House</t>
        </is>
      </c>
      <c r="AE9" t="inlineStr">
        <is>
          <t>Maraka</t>
        </is>
      </c>
      <c r="AG9" t="inlineStr">
        <is>
          <t>Jupiter</t>
        </is>
      </c>
      <c r="AH9" t="n">
        <v>16</v>
      </c>
      <c r="AJ9" t="inlineStr">
        <is>
          <t>Punarvasu</t>
        </is>
      </c>
      <c r="AK9" t="inlineStr">
        <is>
          <t>Jupiter</t>
        </is>
      </c>
    </row>
    <row r="10">
      <c r="A10" t="n">
        <v>7</v>
      </c>
      <c r="B10" t="inlineStr">
        <is>
          <t>Vrischika</t>
        </is>
      </c>
      <c r="C10" t="inlineStr">
        <is>
          <t>Scorpio</t>
        </is>
      </c>
      <c r="D10" t="inlineStr">
        <is>
          <t>Mars</t>
        </is>
      </c>
      <c r="E10" t="inlineStr">
        <is>
          <t>Sthira</t>
        </is>
      </c>
      <c r="G10" t="inlineStr">
        <is>
          <t>Rahu</t>
        </is>
      </c>
      <c r="I10" t="inlineStr">
        <is>
          <t>Rahu</t>
        </is>
      </c>
      <c r="R10" t="inlineStr">
        <is>
          <t>Own House</t>
        </is>
      </c>
      <c r="S10" t="inlineStr">
        <is>
          <t>Exalted</t>
        </is>
      </c>
      <c r="T10" t="inlineStr">
        <is>
          <t>Own House</t>
        </is>
      </c>
      <c r="U10" t="inlineStr">
        <is>
          <t>Own House</t>
        </is>
      </c>
      <c r="V10" t="inlineStr">
        <is>
          <t>Own House</t>
        </is>
      </c>
      <c r="W10" t="inlineStr">
        <is>
          <t>Own House</t>
        </is>
      </c>
      <c r="X10" t="inlineStr">
        <is>
          <t>Own House</t>
        </is>
      </c>
      <c r="Y10" t="inlineStr">
        <is>
          <t>Debilitated</t>
        </is>
      </c>
      <c r="Z10" t="inlineStr">
        <is>
          <t>Own House</t>
        </is>
      </c>
      <c r="AA10" t="inlineStr">
        <is>
          <t>Own House</t>
        </is>
      </c>
      <c r="AB10" t="inlineStr">
        <is>
          <t>Own House</t>
        </is>
      </c>
      <c r="AC10" t="inlineStr">
        <is>
          <t>Own House</t>
        </is>
      </c>
      <c r="AE10" t="inlineStr">
        <is>
          <t>Dusthana</t>
        </is>
      </c>
      <c r="AG10" t="inlineStr">
        <is>
          <t>Saturn</t>
        </is>
      </c>
      <c r="AH10" t="n">
        <v>19</v>
      </c>
      <c r="AJ10" t="inlineStr">
        <is>
          <t>Pushya</t>
        </is>
      </c>
      <c r="AK10" t="inlineStr">
        <is>
          <t>Saturn</t>
        </is>
      </c>
    </row>
    <row r="11">
      <c r="A11" t="n">
        <v>8</v>
      </c>
      <c r="B11" t="inlineStr">
        <is>
          <t>Dhanur</t>
        </is>
      </c>
      <c r="C11" t="inlineStr">
        <is>
          <t>Sagittarius</t>
        </is>
      </c>
      <c r="D11" t="inlineStr">
        <is>
          <t>Jupiter</t>
        </is>
      </c>
      <c r="E11" t="inlineStr">
        <is>
          <t>Dwisabhava</t>
        </is>
      </c>
      <c r="G11" t="inlineStr">
        <is>
          <t>Ketu</t>
        </is>
      </c>
      <c r="I11" t="inlineStr">
        <is>
          <t>Ketu</t>
        </is>
      </c>
      <c r="R11" t="inlineStr">
        <is>
          <t>Own House</t>
        </is>
      </c>
      <c r="S11" t="inlineStr">
        <is>
          <t>Debilitated</t>
        </is>
      </c>
      <c r="T11" t="inlineStr">
        <is>
          <t>Own House</t>
        </is>
      </c>
      <c r="U11" t="inlineStr">
        <is>
          <t>Own House</t>
        </is>
      </c>
      <c r="V11" t="inlineStr">
        <is>
          <t>Own House</t>
        </is>
      </c>
      <c r="W11" t="inlineStr">
        <is>
          <t>Own House</t>
        </is>
      </c>
      <c r="X11" t="inlineStr">
        <is>
          <t>Own House</t>
        </is>
      </c>
      <c r="Y11" t="inlineStr">
        <is>
          <t>Exalted</t>
        </is>
      </c>
      <c r="Z11" t="inlineStr">
        <is>
          <t>Own House</t>
        </is>
      </c>
      <c r="AA11" t="inlineStr">
        <is>
          <t>Own House</t>
        </is>
      </c>
      <c r="AB11" t="inlineStr">
        <is>
          <t>Own House</t>
        </is>
      </c>
      <c r="AC11" t="inlineStr">
        <is>
          <t>Own House</t>
        </is>
      </c>
      <c r="AE11" t="inlineStr">
        <is>
          <t>Badhaka</t>
        </is>
      </c>
      <c r="AG11" t="inlineStr">
        <is>
          <t>Mercury</t>
        </is>
      </c>
      <c r="AH11" t="n">
        <v>17</v>
      </c>
      <c r="AJ11" t="inlineStr">
        <is>
          <t>Ashlesha</t>
        </is>
      </c>
      <c r="AK11" t="inlineStr">
        <is>
          <t>Mercury</t>
        </is>
      </c>
    </row>
    <row r="12">
      <c r="A12" t="n">
        <v>9</v>
      </c>
      <c r="B12" t="inlineStr">
        <is>
          <t>Makara</t>
        </is>
      </c>
      <c r="C12" t="inlineStr">
        <is>
          <t>Capricorn</t>
        </is>
      </c>
      <c r="D12" t="inlineStr">
        <is>
          <t>Saturn</t>
        </is>
      </c>
      <c r="E12" t="inlineStr">
        <is>
          <t>Chara</t>
        </is>
      </c>
      <c r="AE12" t="inlineStr">
        <is>
          <t>Trishadaya</t>
        </is>
      </c>
      <c r="AJ12" t="inlineStr">
        <is>
          <t>Magha</t>
        </is>
      </c>
      <c r="AK12" t="inlineStr">
        <is>
          <t>Ketu</t>
        </is>
      </c>
    </row>
    <row r="13">
      <c r="A13" t="n">
        <v>10</v>
      </c>
      <c r="B13" t="inlineStr">
        <is>
          <t>Kumbha</t>
        </is>
      </c>
      <c r="C13" t="inlineStr">
        <is>
          <t>Aquarius</t>
        </is>
      </c>
      <c r="D13" t="inlineStr">
        <is>
          <t>Saturn</t>
        </is>
      </c>
      <c r="E13" t="inlineStr">
        <is>
          <t>Sthira</t>
        </is>
      </c>
      <c r="AJ13" t="inlineStr">
        <is>
          <t>Purva Phalguni</t>
        </is>
      </c>
      <c r="AK13" t="inlineStr">
        <is>
          <t>Venus</t>
        </is>
      </c>
    </row>
    <row r="14">
      <c r="A14" t="n">
        <v>11</v>
      </c>
      <c r="B14" t="inlineStr">
        <is>
          <t>Meena</t>
        </is>
      </c>
      <c r="C14" t="inlineStr">
        <is>
          <t>Pisces</t>
        </is>
      </c>
      <c r="D14" t="inlineStr">
        <is>
          <t>Jupiter</t>
        </is>
      </c>
      <c r="E14" t="inlineStr">
        <is>
          <t>Dwisabhava</t>
        </is>
      </c>
      <c r="AJ14" t="inlineStr">
        <is>
          <t>Uttara Phalguni</t>
        </is>
      </c>
      <c r="AK14" t="inlineStr">
        <is>
          <t>Sun</t>
        </is>
      </c>
    </row>
    <row r="15">
      <c r="AJ15" t="inlineStr">
        <is>
          <t>Hasta</t>
        </is>
      </c>
      <c r="AK15" t="inlineStr">
        <is>
          <t>Moon</t>
        </is>
      </c>
    </row>
    <row r="16">
      <c r="AJ16" t="inlineStr">
        <is>
          <t>Chitra</t>
        </is>
      </c>
      <c r="AK16" t="inlineStr">
        <is>
          <t>Mars</t>
        </is>
      </c>
    </row>
    <row r="17">
      <c r="AJ17" t="inlineStr">
        <is>
          <t>Swati</t>
        </is>
      </c>
      <c r="AK17" t="inlineStr">
        <is>
          <t>Rahu</t>
        </is>
      </c>
    </row>
    <row r="18">
      <c r="AJ18" t="inlineStr">
        <is>
          <t>Vishakha</t>
        </is>
      </c>
      <c r="AK18" t="inlineStr">
        <is>
          <t>Jupiter</t>
        </is>
      </c>
    </row>
    <row r="19">
      <c r="AJ19" t="inlineStr">
        <is>
          <t>Anuradha</t>
        </is>
      </c>
      <c r="AK19" t="inlineStr">
        <is>
          <t>Saturn</t>
        </is>
      </c>
    </row>
    <row r="20">
      <c r="AJ20" t="inlineStr">
        <is>
          <t>Jyeshtha</t>
        </is>
      </c>
      <c r="AK20" t="inlineStr">
        <is>
          <t>Mercury</t>
        </is>
      </c>
    </row>
    <row r="21">
      <c r="AJ21" t="inlineStr">
        <is>
          <t>Mula</t>
        </is>
      </c>
      <c r="AK21" t="inlineStr">
        <is>
          <t>Ketu</t>
        </is>
      </c>
    </row>
    <row r="22">
      <c r="AJ22" t="inlineStr">
        <is>
          <t>Purva Ashadha</t>
        </is>
      </c>
      <c r="AK22" t="inlineStr">
        <is>
          <t>Venus</t>
        </is>
      </c>
    </row>
    <row r="23">
      <c r="AJ23" t="inlineStr">
        <is>
          <t>Uttara Ashadha</t>
        </is>
      </c>
      <c r="AK23" t="inlineStr">
        <is>
          <t>Sun</t>
        </is>
      </c>
    </row>
    <row r="24">
      <c r="AJ24" t="inlineStr">
        <is>
          <t>Shravana</t>
        </is>
      </c>
      <c r="AK24" t="inlineStr">
        <is>
          <t>Moon</t>
        </is>
      </c>
    </row>
    <row r="25">
      <c r="AJ25" t="inlineStr">
        <is>
          <t>Dhanishta</t>
        </is>
      </c>
      <c r="AK25" t="inlineStr">
        <is>
          <t>Mars</t>
        </is>
      </c>
    </row>
    <row r="26">
      <c r="AJ26" t="inlineStr">
        <is>
          <t>Shatabhisha</t>
        </is>
      </c>
      <c r="AK26" t="inlineStr">
        <is>
          <t>Rahu</t>
        </is>
      </c>
    </row>
    <row r="27">
      <c r="AJ27" t="inlineStr">
        <is>
          <t>Purva Bhadrapada</t>
        </is>
      </c>
      <c r="AK27" t="inlineStr">
        <is>
          <t>Jupiter</t>
        </is>
      </c>
    </row>
    <row r="28">
      <c r="AJ28" t="inlineStr">
        <is>
          <t>Uttara Bhadrapada</t>
        </is>
      </c>
      <c r="AK28" t="inlineStr">
        <is>
          <t>Saturn</t>
        </is>
      </c>
    </row>
    <row r="29">
      <c r="AJ29" t="inlineStr">
        <is>
          <t>Revati</t>
        </is>
      </c>
      <c r="AK29" t="inlineStr">
        <is>
          <t>Mercury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
  <sheetViews>
    <sheetView zoomScaleNormal="100" workbookViewId="0">
      <pane ySplit="1" topLeftCell="A2" activePane="bottomLeft" state="frozen"/>
      <selection pane="bottomLeft" activeCell="A6" sqref="A6"/>
    </sheetView>
  </sheetViews>
  <sheetFormatPr baseColWidth="8" defaultColWidth="8.703125" defaultRowHeight="14.35"/>
  <cols>
    <col width="16" customWidth="1" min="1" max="4"/>
    <col width="70" customWidth="1" min="5" max="7"/>
    <col width="16" customWidth="1" min="8" max="8"/>
  </cols>
  <sheetData>
    <row r="1">
      <c r="A1" s="10" t="inlineStr">
        <is>
          <t>No</t>
        </is>
      </c>
      <c r="B1" s="10" t="inlineStr">
        <is>
          <t>Class</t>
        </is>
      </c>
      <c r="C1" s="10" t="inlineStr">
        <is>
          <t>SlideName</t>
        </is>
      </c>
      <c r="D1" s="10" t="inlineStr">
        <is>
          <t>Houses</t>
        </is>
      </c>
      <c r="E1" s="10" t="inlineStr">
        <is>
          <t>OtherNames</t>
        </is>
      </c>
      <c r="F1" s="10" t="inlineStr">
        <is>
          <t>Nature</t>
        </is>
      </c>
      <c r="G1" s="10" t="inlineStr">
        <is>
          <t>Rule</t>
        </is>
      </c>
      <c r="H1" s="10" t="inlineStr">
        <is>
          <t>Slides</t>
        </is>
      </c>
    </row>
    <row r="2" ht="71.7" customHeight="1">
      <c r="A2" s="3" t="n">
        <v>1</v>
      </c>
      <c r="B2" s="3" t="inlineStr">
        <is>
          <t>Kendra</t>
        </is>
      </c>
      <c r="C2" s="3" t="inlineStr">
        <is>
          <t>Kendra or Angular houses</t>
        </is>
      </c>
      <c r="D2" s="3" t="inlineStr">
        <is>
          <t>1, 4, 7, 10</t>
        </is>
      </c>
      <c r="E2" s="3" t="inlineStr">
        <is>
          <t>Vishnu Sthanas; Pillars of the Horoscope</t>
        </is>
      </c>
      <c r="F2" s="3" t="inlineStr">
        <is>
          <t>Very powerful, energetic and decisive houses; they give power for achievement and a strong will in life. 1st = person / self, 4th = happiness and comforts, 7th = interaction with the society and spouse, 10th = profession. Lagna is both a Kendra and a Trikona, hence extra strong and important. The distance between adjacent Kendras is always 90 degrees.</t>
        </is>
      </c>
      <c r="G2" s="3" t="inlineStr">
        <is>
          <t>Benefic grahas in Kendras lead to powerful manifestations with smaller efforts, while malefic grahas can cause struggle and pose challenges for accomplishments. Grahas placed here are highly active. Benefic planets in a Kendra enhance the internal strength of an individual.</t>
        </is>
      </c>
      <c r="H2" s="3" t="inlineStr">
        <is>
          <t>3-5</t>
        </is>
      </c>
    </row>
    <row r="3" ht="86" customHeight="1">
      <c r="A3" s="3" t="n">
        <v>2</v>
      </c>
      <c r="B3" s="3" t="inlineStr">
        <is>
          <t>Trikona</t>
        </is>
      </c>
      <c r="C3" s="3" t="inlineStr">
        <is>
          <t>Trikona or Trines houses</t>
        </is>
      </c>
      <c r="D3" s="3" t="inlineStr">
        <is>
          <t>1, 5, 9</t>
        </is>
      </c>
      <c r="E3" s="3" t="inlineStr">
        <is>
          <t>Lakshmi Sthanas; Dharmasthanas</t>
        </is>
      </c>
      <c r="F3" s="3" t="inlineStr">
        <is>
          <t>The most auspicious houses (and their lords) in the chart. They bring spirituality, knowledge, goodness, generosity and well-being if well placed and unafflicted. 1st = self (Kendra and Trikona), 5th = intelligence and purva punya (Panapara), 9th = religion, fortune, inherited characters (Apoklima) — Kendra, Panapara and Apoklima indicate the balance. Adjacent Trikonas are 120 degrees apart; Trikona houses belong to the same tatwa, the same direction and the same varna.</t>
        </is>
      </c>
      <c r="G3" s="3" t="inlineStr">
        <is>
          <t>The planets posited in the Trikonas get closely associated with destiny and hence gain strength. Benefics here ease the flow of destiny; malefics could cause challenges to be faced.</t>
        </is>
      </c>
      <c r="H3" s="3" t="inlineStr">
        <is>
          <t>6-9</t>
        </is>
      </c>
    </row>
    <row r="4" ht="57.35" customHeight="1">
      <c r="A4" s="3" t="n">
        <v>3</v>
      </c>
      <c r="B4" s="3" t="inlineStr">
        <is>
          <t>Panapara</t>
        </is>
      </c>
      <c r="C4" s="3" t="inlineStr">
        <is>
          <t>Panapara or Succedent houses</t>
        </is>
      </c>
      <c r="D4" s="3" t="inlineStr">
        <is>
          <t>2, 5, 8, 11</t>
        </is>
      </c>
      <c r="E4" s="3" t="inlineStr">
        <is>
          <t>Succedent; money related / wealth related</t>
        </is>
      </c>
      <c r="F4" s="3" t="inlineStr">
        <is>
          <t>Important for calculating one's financial status; they indicate the resources of the native. 2nd = one's own money, 5th = money earned by speculation, 8th = unexpected money, 11th = gain from profession or business. Panapara = accumulated or promised in future.</t>
        </is>
      </c>
      <c r="G4" s="3" t="inlineStr">
        <is>
          <t>Grahas posited in these places are moderately strong.</t>
        </is>
      </c>
      <c r="H4" s="3" t="inlineStr">
        <is>
          <t>10-11</t>
        </is>
      </c>
    </row>
    <row r="5" ht="57.35" customHeight="1">
      <c r="A5" s="3" t="n">
        <v>4</v>
      </c>
      <c r="B5" s="3" t="inlineStr">
        <is>
          <t>Apoklima</t>
        </is>
      </c>
      <c r="C5" s="3" t="inlineStr">
        <is>
          <t>Apoklima or Cadent houses</t>
        </is>
      </c>
      <c r="D5" s="3" t="inlineStr">
        <is>
          <t>3, 6, 9, 12</t>
        </is>
      </c>
      <c r="E5" s="3" t="inlineStr">
        <is>
          <t>Cadent</t>
        </is>
      </c>
      <c r="F5" s="3" t="inlineStr">
        <is>
          <t>Apoklima houses indicate 'weakness', 'becoming less', 'expenditure' or 'destruction'. We spend money for ourselves and the body (12th), for family and relatives (3rd), for partner and to fulfil our desires (6th), and for parents and to maintain profession and status (9th) — each decreases the wealth.</t>
        </is>
      </c>
      <c r="G5" s="3" t="inlineStr">
        <is>
          <t>Planets placed in these signs are considered weak. Except 9th house, it is considered as bad position to the planets. Grahas in these houses are weak, very delicate, sensitive, highly intelligent, fluctuating, undecided and provide spiritual inclination to the native.</t>
        </is>
      </c>
      <c r="H5" s="3" t="inlineStr">
        <is>
          <t>12-13</t>
        </is>
      </c>
    </row>
    <row r="6" ht="86" customHeight="1">
      <c r="A6" s="3" t="n">
        <v>5</v>
      </c>
      <c r="B6" s="3" t="inlineStr">
        <is>
          <t>Upachaya</t>
        </is>
      </c>
      <c r="C6" s="3" t="inlineStr">
        <is>
          <t>Upachaya or Increasing houses</t>
        </is>
      </c>
      <c r="D6" s="3" t="inlineStr">
        <is>
          <t>3, 6, 10, 11</t>
        </is>
      </c>
      <c r="E6" s="3" t="inlineStr">
        <is>
          <t>Houses of growth and prosperity; bending / self-effort houses</t>
        </is>
      </c>
      <c r="F6" s="3" t="inlineStr">
        <is>
          <t>Upachaya means improvement, growth or progress. They create a certain amount of urge / tension which drives one to improve life's situations and get better over time. 3rd = neck, 6th = waist, 10th = knees, 11th = ankle — body parts that can bend. The strength of Kendra and Trikona decides name, fame and monetary position; the strength of Upachaya shows potential and opportunities for personal growth / gains and refers to courage, duties, profession and gains.</t>
        </is>
      </c>
      <c r="G6" s="3" t="inlineStr">
        <is>
          <t>Planets placed in these houses grow and improve over time. Particularly, malefic planets placed in these houses bestow good results during their dasa period. Benefics in Kendra and malefics in Upachaya houses will provide good results.</t>
        </is>
      </c>
      <c r="H6" s="3" t="inlineStr">
        <is>
          <t>14-15</t>
        </is>
      </c>
    </row>
    <row r="7" ht="28.7" customHeight="1">
      <c r="A7" s="3" t="n">
        <v>6</v>
      </c>
      <c r="B7" s="3" t="inlineStr">
        <is>
          <t>Apachaya</t>
        </is>
      </c>
      <c r="C7" s="3" t="inlineStr">
        <is>
          <t>Apachaya or Decreasing houses</t>
        </is>
      </c>
      <c r="D7" s="3" t="inlineStr">
        <is>
          <t>1, 2, 4, 7, 8</t>
        </is>
      </c>
      <c r="E7" s="3" t="inlineStr">
        <is>
          <t>Decreasing houses</t>
        </is>
      </c>
      <c r="F7" s="3" t="inlineStr">
        <is>
          <t>Houses 1, 2, 4, 7, 8 are Apachaya (decreasing) houses.</t>
        </is>
      </c>
      <c r="G7" s="3" t="inlineStr">
        <is>
          <t>Planets located in them lose their strength through time. Natural malefics do not do well in these houses.</t>
        </is>
      </c>
      <c r="H7" s="3" t="inlineStr">
        <is>
          <t>16</t>
        </is>
      </c>
    </row>
    <row r="8" ht="43" customHeight="1">
      <c r="A8" s="3" t="n">
        <v>7</v>
      </c>
      <c r="B8" s="3" t="inlineStr">
        <is>
          <t>Maraka</t>
        </is>
      </c>
      <c r="C8" s="3" t="inlineStr">
        <is>
          <t>Maraka or Death-Inflicting (2nd and 7th) houses</t>
        </is>
      </c>
      <c r="D8" s="3" t="inlineStr">
        <is>
          <t>2, 7</t>
        </is>
      </c>
      <c r="E8" s="3" t="inlineStr">
        <is>
          <t>Marakasthanas; their lords are the Marakadipathis</t>
        </is>
      </c>
      <c r="F8" s="3" t="inlineStr">
        <is>
          <t>The 2nd and the 7th houses from the lagna are the marakasthanas (the death-inflicting houses), and the lords of the 2nd and the 7th are designated as the principal Marakas (the inflictors of death).</t>
        </is>
      </c>
      <c r="G8" s="3" t="inlineStr">
        <is>
          <t>Planets occupying or owning these houses can cause death during their dasa periods. If they operate before the time of death is promised, they can bring death like suffering, disturbance of the health etc.</t>
        </is>
      </c>
      <c r="H8" s="3" t="inlineStr">
        <is>
          <t>17-18</t>
        </is>
      </c>
    </row>
    <row r="9" ht="43" customHeight="1">
      <c r="A9" s="3" t="n">
        <v>8</v>
      </c>
      <c r="B9" s="3" t="inlineStr">
        <is>
          <t>Dusthana</t>
        </is>
      </c>
      <c r="C9" s="3" t="inlineStr">
        <is>
          <t>Duhsthana or Evil houses</t>
        </is>
      </c>
      <c r="D9" s="3" t="inlineStr">
        <is>
          <t>6, 8, 12</t>
        </is>
      </c>
      <c r="E9" s="3" t="inlineStr">
        <is>
          <t>Trika houses; malefic houses</t>
        </is>
      </c>
      <c r="F9" s="3" t="inlineStr">
        <is>
          <t>The 6th, 8th and 12th houses are called evil houses. They are said to be evil and malefic houses; houses 6, 8 and 12 are extremely malefic (on the recording the 8th is the most malefic of the three).</t>
        </is>
      </c>
      <c r="G9" s="3" t="inlineStr">
        <is>
          <t>Lords of these houses bring problems, impediments, enemies, lawsuits, accidents, injuries, surgeries and death like experiences into our lives during their dasa-bukti period.</t>
        </is>
      </c>
      <c r="H9" s="3" t="inlineStr">
        <is>
          <t>19-20</t>
        </is>
      </c>
    </row>
    <row r="10" ht="57.35" customHeight="1">
      <c r="A10" s="3" t="n">
        <v>9</v>
      </c>
      <c r="B10" s="3" t="inlineStr">
        <is>
          <t>Badhaka</t>
        </is>
      </c>
      <c r="C10" s="3" t="inlineStr">
        <is>
          <t>Badhaka or Obstruction houses</t>
        </is>
      </c>
      <c r="D10" s="3" t="inlineStr">
        <is>
          <t>by Lagna</t>
        </is>
      </c>
      <c r="E10" s="3" t="inlineStr">
        <is>
          <t>Badhakasthana; its lord is the Badhakadipathi</t>
        </is>
      </c>
      <c r="F10" s="3" t="inlineStr">
        <is>
          <t>Badhaka means that which obstructs. Each sign has a particular sign corresponding to it which obstructs it. If Lagna falls in Chara Rashi, the 11th house is Badhakasthana and the 11th lord is Badhakadipathi; in Sthira Rashi, the 9th house and the 9th lord; in Dwiswabhava Rashi, the 7th house and the 7th lord.</t>
        </is>
      </c>
      <c r="G10" s="3" t="inlineStr">
        <is>
          <t>The Badhaka obstructs; it brings about barriers and disabilities or ends. But remember, badhaka obstructs a sign, it does not obstruct the horoscope. (Recording: its effects come in the dasa / bhukti of the Badhaka lord or of planets posted there — health issues, suffering; Yogakaraka and Badhaka are different concepts.)</t>
        </is>
      </c>
      <c r="H10" s="3" t="inlineStr">
        <is>
          <t>21-22</t>
        </is>
      </c>
    </row>
    <row r="11" ht="57.35" customHeight="1">
      <c r="A11" s="3" t="n">
        <v>10</v>
      </c>
      <c r="B11" s="3" t="inlineStr">
        <is>
          <t>Trishadaya</t>
        </is>
      </c>
      <c r="C11" s="3" t="inlineStr">
        <is>
          <t>Trishadaya or Evil houses</t>
        </is>
      </c>
      <c r="D11" s="3" t="inlineStr">
        <is>
          <t>3, 6, 11</t>
        </is>
      </c>
      <c r="E11" s="3" t="inlineStr">
        <is>
          <t>Evil houses</t>
        </is>
      </c>
      <c r="F11" s="3" t="inlineStr">
        <is>
          <t>The 3rd, 6th and 11th houses represent the three evil factors — desire, anger and greed respectively. They are entirely opposite to the most important houses for spiritual advancement: the 9th, 12th and 5th houses respectively. The 11th house is the most powerful of the group as it is the last member.</t>
        </is>
      </c>
      <c r="G11" s="3" t="inlineStr">
        <is>
          <t>A person can achieve materialistic success and make lots of money only during the Maha Dasha period of the trishadaya houses. If the lord of a trishadaya house is a natural malefic like Saturn, Mars or Sun, and the malefic planet is also placed in its own house, the results given are simply amazing during its Maha Dasha.</t>
        </is>
      </c>
      <c r="H11" s="3" t="inlineStr">
        <is>
          <t>23-24</t>
        </is>
      </c>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E19"/>
  <sheetViews>
    <sheetView zoomScaleNormal="100" workbookViewId="0">
      <pane ySplit="1" topLeftCell="A2" activePane="bottomLeft" state="frozen"/>
      <selection pane="bottomLeft" activeCell="D16" sqref="D16"/>
    </sheetView>
  </sheetViews>
  <sheetFormatPr baseColWidth="8" defaultColWidth="8.703125" defaultRowHeight="14.35"/>
  <cols>
    <col width="16" customWidth="1" min="1" max="3"/>
    <col width="70" customWidth="1" min="4" max="4"/>
    <col width="16" customWidth="1" min="5" max="5"/>
  </cols>
  <sheetData>
    <row r="1">
      <c r="A1" s="10" t="inlineStr">
        <is>
          <t>Class</t>
        </is>
      </c>
      <c r="B1" s="10" t="inlineStr">
        <is>
          <t>AppliesTo</t>
        </is>
      </c>
      <c r="C1" s="10" t="inlineStr">
        <is>
          <t>ExcludeHouses</t>
        </is>
      </c>
      <c r="D1" s="10" t="inlineStr">
        <is>
          <t>Text</t>
        </is>
      </c>
      <c r="E1" s="10" t="inlineStr">
        <is>
          <t>Slide</t>
        </is>
      </c>
    </row>
    <row r="2" ht="28.7" customHeight="1">
      <c r="A2" s="3" t="inlineStr">
        <is>
          <t>Kendra</t>
        </is>
      </c>
      <c r="B2" s="3" t="inlineStr">
        <is>
          <t>benefic</t>
        </is>
      </c>
      <c r="C2" s="3" t="n"/>
      <c r="D2" s="3" t="inlineStr">
        <is>
          <t>Benefic grahas in Kendras lead to powerful manifestations with smaller efforts; they enhance the internal strength of the individual.</t>
        </is>
      </c>
      <c r="E2" s="3" t="inlineStr">
        <is>
          <t>4</t>
        </is>
      </c>
    </row>
    <row r="3" ht="28.7" customHeight="1">
      <c r="A3" s="3" t="inlineStr">
        <is>
          <t>Kendra</t>
        </is>
      </c>
      <c r="B3" s="3" t="inlineStr">
        <is>
          <t>malefic</t>
        </is>
      </c>
      <c r="C3" s="3" t="n"/>
      <c r="D3" s="3" t="inlineStr">
        <is>
          <t>Malefic grahas in Kendras can cause struggle and pose challenges for accomplishments.</t>
        </is>
      </c>
      <c r="E3" s="3" t="inlineStr">
        <is>
          <t>4</t>
        </is>
      </c>
    </row>
    <row r="4">
      <c r="A4" s="3" t="inlineStr">
        <is>
          <t>Kendra</t>
        </is>
      </c>
      <c r="B4" s="3" t="inlineStr">
        <is>
          <t>any</t>
        </is>
      </c>
      <c r="C4" s="3" t="n"/>
      <c r="D4" s="3" t="inlineStr">
        <is>
          <t>Grahas placed in a Kendra are highly active.</t>
        </is>
      </c>
      <c r="E4" s="3" t="inlineStr">
        <is>
          <t>4</t>
        </is>
      </c>
    </row>
    <row r="5">
      <c r="A5" s="3" t="inlineStr">
        <is>
          <t>Trikona</t>
        </is>
      </c>
      <c r="B5" s="3" t="inlineStr">
        <is>
          <t>benefic</t>
        </is>
      </c>
      <c r="C5" s="3" t="n"/>
      <c r="D5" s="3" t="inlineStr">
        <is>
          <t>Benefics in a Trikona ease the flow of destiny.</t>
        </is>
      </c>
      <c r="E5" s="3" t="inlineStr">
        <is>
          <t>7</t>
        </is>
      </c>
    </row>
    <row r="6">
      <c r="A6" s="3" t="inlineStr">
        <is>
          <t>Trikona</t>
        </is>
      </c>
      <c r="B6" s="3" t="inlineStr">
        <is>
          <t>malefic</t>
        </is>
      </c>
      <c r="C6" s="3" t="n"/>
      <c r="D6" s="3" t="inlineStr">
        <is>
          <t>Malefics in a Trikona could cause challenges to be faced.</t>
        </is>
      </c>
      <c r="E6" s="3" t="inlineStr">
        <is>
          <t>7</t>
        </is>
      </c>
    </row>
    <row r="7">
      <c r="A7" s="3" t="inlineStr">
        <is>
          <t>Trikona</t>
        </is>
      </c>
      <c r="B7" s="3" t="inlineStr">
        <is>
          <t>any</t>
        </is>
      </c>
      <c r="C7" s="3" t="n"/>
      <c r="D7" s="3" t="inlineStr">
        <is>
          <t>Planets posited in a Trikona get closely associated with destiny and gain strength.</t>
        </is>
      </c>
      <c r="E7" s="3" t="inlineStr">
        <is>
          <t>7</t>
        </is>
      </c>
    </row>
    <row r="8" ht="28.7" customHeight="1">
      <c r="A8" s="3" t="inlineStr">
        <is>
          <t>Panapara</t>
        </is>
      </c>
      <c r="B8" s="3" t="inlineStr">
        <is>
          <t>any</t>
        </is>
      </c>
      <c r="C8" s="3" t="n"/>
      <c r="D8" s="3" t="inlineStr">
        <is>
          <t>Grahas posited in the Panapara houses are moderately strong; these are money-related houses.</t>
        </is>
      </c>
      <c r="E8" s="3" t="inlineStr">
        <is>
          <t>10</t>
        </is>
      </c>
    </row>
    <row r="9" ht="28.7" customHeight="1">
      <c r="A9" s="3" t="inlineStr">
        <is>
          <t>Apoklima</t>
        </is>
      </c>
      <c r="B9" s="3" t="inlineStr">
        <is>
          <t>any</t>
        </is>
      </c>
      <c r="C9" s="3" t="inlineStr">
        <is>
          <t>9</t>
        </is>
      </c>
      <c r="D9" s="3" t="inlineStr">
        <is>
          <t>Planets placed in the Apoklima houses are considered weak — delicate, sensitive, highly intelligent, fluctuating, undecided, with a spiritual inclination.</t>
        </is>
      </c>
      <c r="E9" s="3" t="inlineStr">
        <is>
          <t>12</t>
        </is>
      </c>
    </row>
    <row r="10" ht="28.7" customHeight="1">
      <c r="A10" s="3" t="inlineStr">
        <is>
          <t>Apoklima</t>
        </is>
      </c>
      <c r="B10" s="3" t="inlineStr">
        <is>
          <t>any</t>
        </is>
      </c>
      <c r="C10" s="3" t="inlineStr">
        <is>
          <t>3, 6, 12</t>
        </is>
      </c>
      <c r="D10" s="3" t="inlineStr">
        <is>
          <t>The 9th house is the exception among the Apoklima houses: it is not counted as a bad position for the planets.</t>
        </is>
      </c>
      <c r="E10" s="3" t="inlineStr">
        <is>
          <t>12</t>
        </is>
      </c>
    </row>
    <row r="11">
      <c r="A11" s="3" t="inlineStr">
        <is>
          <t>Upachaya</t>
        </is>
      </c>
      <c r="B11" s="3" t="inlineStr">
        <is>
          <t>any</t>
        </is>
      </c>
      <c r="C11" s="3" t="n"/>
      <c r="D11" s="3" t="inlineStr">
        <is>
          <t>Planets placed in the Upachaya houses grow and improve over time.</t>
        </is>
      </c>
      <c r="E11" s="3" t="inlineStr">
        <is>
          <t>14</t>
        </is>
      </c>
    </row>
    <row r="12">
      <c r="A12" s="3" t="inlineStr">
        <is>
          <t>Upachaya</t>
        </is>
      </c>
      <c r="B12" s="3" t="inlineStr">
        <is>
          <t>malefic</t>
        </is>
      </c>
      <c r="C12" s="3" t="n"/>
      <c r="D12" s="3" t="inlineStr">
        <is>
          <t>A malefic planet placed here bestows good results during its dasa period.</t>
        </is>
      </c>
      <c r="E12" s="3" t="inlineStr">
        <is>
          <t>14</t>
        </is>
      </c>
    </row>
    <row r="13">
      <c r="A13" s="3" t="inlineStr">
        <is>
          <t>Apachaya</t>
        </is>
      </c>
      <c r="B13" s="3" t="inlineStr">
        <is>
          <t>any</t>
        </is>
      </c>
      <c r="C13" s="3" t="n"/>
      <c r="D13" s="3" t="inlineStr">
        <is>
          <t>Planets located in the Apachaya houses lose their strength through time.</t>
        </is>
      </c>
      <c r="E13" s="3" t="inlineStr">
        <is>
          <t>16</t>
        </is>
      </c>
    </row>
    <row r="14">
      <c r="A14" s="3" t="inlineStr">
        <is>
          <t>Apachaya</t>
        </is>
      </c>
      <c r="B14" s="3" t="inlineStr">
        <is>
          <t>malefic</t>
        </is>
      </c>
      <c r="C14" s="3" t="n"/>
      <c r="D14" s="3" t="inlineStr">
        <is>
          <t>Natural malefics do not do well in these houses.</t>
        </is>
      </c>
      <c r="E14" s="3" t="inlineStr">
        <is>
          <t>16</t>
        </is>
      </c>
    </row>
    <row r="15" ht="28.7" customHeight="1">
      <c r="A15" s="3" t="inlineStr">
        <is>
          <t>Maraka</t>
        </is>
      </c>
      <c r="B15" s="3" t="inlineStr">
        <is>
          <t>any</t>
        </is>
      </c>
      <c r="C15" s="3" t="n"/>
      <c r="D15" s="3" t="inlineStr">
        <is>
          <t>A planet occupying the 2nd or 7th can cause death-like suffering or disturbance of the health during its dasa, if it operates before the time of death is promised.</t>
        </is>
      </c>
      <c r="E15" s="3" t="inlineStr">
        <is>
          <t>17</t>
        </is>
      </c>
    </row>
    <row r="16" ht="43" customHeight="1">
      <c r="A16" s="3" t="inlineStr">
        <is>
          <t>Dusthana</t>
        </is>
      </c>
      <c r="B16" s="3" t="inlineStr">
        <is>
          <t>any</t>
        </is>
      </c>
      <c r="C16" s="3" t="n"/>
      <c r="D16" s="3" t="inlineStr">
        <is>
          <t>The 6th, 8th and 12th are evil and malefic houses; their lords bring problems, impediments, enemies, lawsuits, accidents, injuries and surgeries during their dasa-bukti period.</t>
        </is>
      </c>
      <c r="E16" s="3" t="inlineStr">
        <is>
          <t>19</t>
        </is>
      </c>
    </row>
    <row r="17" ht="28.7" customHeight="1">
      <c r="A17" s="3" t="inlineStr">
        <is>
          <t>Badhaka</t>
        </is>
      </c>
      <c r="B17" s="3" t="inlineStr">
        <is>
          <t>any</t>
        </is>
      </c>
      <c r="C17" s="3" t="n"/>
      <c r="D17" s="3" t="inlineStr">
        <is>
          <t>A planet in the Badhakasthana obstructs that sign and can bring barriers and disabilities.</t>
        </is>
      </c>
      <c r="E17" s="3" t="inlineStr">
        <is>
          <t>21</t>
        </is>
      </c>
    </row>
    <row r="18" ht="28.7" customHeight="1">
      <c r="A18" s="3" t="inlineStr">
        <is>
          <t>Trishadaya</t>
        </is>
      </c>
      <c r="B18" s="3" t="inlineStr">
        <is>
          <t>any</t>
        </is>
      </c>
      <c r="C18" s="3" t="n"/>
      <c r="D18" s="3" t="inlineStr">
        <is>
          <t>The 3rd, 6th and 11th stand for desire, anger and greed; they are opposite to the 9th, 12th and 5th.</t>
        </is>
      </c>
      <c r="E18" s="3" t="inlineStr">
        <is>
          <t>23</t>
        </is>
      </c>
    </row>
    <row r="19" ht="28.7" customHeight="1">
      <c r="A19" s="3" t="inlineStr">
        <is>
          <t>Trishadaya</t>
        </is>
      </c>
      <c r="B19" s="3" t="inlineStr">
        <is>
          <t>malefic</t>
        </is>
      </c>
      <c r="C19" s="3" t="n"/>
      <c r="D19" s="3" t="inlineStr">
        <is>
          <t>Slide 23: when the lord of a Trishadaya house is a natural malefic (Saturn, Mars or Sun) and sits in its own house, the results are simply amazing during its Maha Dasha.</t>
        </is>
      </c>
      <c r="E19" s="3" t="inlineStr">
        <is>
          <t>23</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4"/>
  <sheetViews>
    <sheetView zoomScaleNormal="100" workbookViewId="0">
      <pane ySplit="1" topLeftCell="A2" activePane="bottomLeft" state="frozen"/>
      <selection pane="bottomLeft" activeCell="A1" sqref="A1"/>
    </sheetView>
  </sheetViews>
  <sheetFormatPr baseColWidth="8" defaultColWidth="8.703125" defaultRowHeight="14.35"/>
  <cols>
    <col width="16" customWidth="1" min="1" max="2"/>
  </cols>
  <sheetData>
    <row r="1">
      <c r="A1" s="10" t="inlineStr">
        <is>
          <t>Mode</t>
        </is>
      </c>
      <c r="B1" s="10" t="inlineStr">
        <is>
          <t>House</t>
        </is>
      </c>
    </row>
    <row r="2">
      <c r="A2" s="3" t="inlineStr">
        <is>
          <t>Chara</t>
        </is>
      </c>
      <c r="B2" s="3" t="n">
        <v>11</v>
      </c>
    </row>
    <row r="3">
      <c r="A3" s="3" t="inlineStr">
        <is>
          <t>Sthira</t>
        </is>
      </c>
      <c r="B3" s="3" t="n">
        <v>9</v>
      </c>
    </row>
    <row r="4">
      <c r="A4" s="3" t="inlineStr">
        <is>
          <t>Dwisabhava</t>
        </is>
      </c>
      <c r="B4" s="3" t="n">
        <v>7</v>
      </c>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E10"/>
  <sheetViews>
    <sheetView zoomScaleNormal="100" workbookViewId="0">
      <pane ySplit="1" topLeftCell="A2" activePane="bottomLeft" state="frozen"/>
      <selection pane="bottomLeft" activeCell="A1" sqref="A1"/>
    </sheetView>
  </sheetViews>
  <sheetFormatPr baseColWidth="8" defaultColWidth="8.703125" defaultRowHeight="14.35"/>
  <cols>
    <col width="16" customWidth="1" min="1" max="2"/>
    <col width="70" customWidth="1" min="3" max="3"/>
    <col width="16" customWidth="1" min="4" max="5"/>
  </cols>
  <sheetData>
    <row r="1">
      <c r="A1" s="10" t="inlineStr">
        <is>
          <t>Label</t>
        </is>
      </c>
      <c r="B1" s="10" t="inlineStr">
        <is>
          <t>Band</t>
        </is>
      </c>
      <c r="C1" s="10" t="inlineStr">
        <is>
          <t>Text</t>
        </is>
      </c>
      <c r="D1" s="10" t="inlineStr">
        <is>
          <t>Status</t>
        </is>
      </c>
      <c r="E1" s="10" t="inlineStr">
        <is>
          <t>Slide</t>
        </is>
      </c>
    </row>
    <row r="2">
      <c r="A2" s="3" t="inlineStr">
        <is>
          <t>Deep Exalted</t>
        </is>
      </c>
      <c r="B2" s="3" t="inlineStr">
        <is>
          <t>strong</t>
        </is>
      </c>
      <c r="C2" s="3" t="inlineStr">
        <is>
          <t>at the deep-exaltation degree the karakatwas of the graha are bestowed in full force.</t>
        </is>
      </c>
      <c r="D2" s="3" t="inlineStr">
        <is>
          <t>taught</t>
        </is>
      </c>
      <c r="E2" s="3" t="inlineStr">
        <is>
          <t>31</t>
        </is>
      </c>
    </row>
    <row r="3">
      <c r="A3" s="3" t="inlineStr">
        <is>
          <t>Exalted</t>
        </is>
      </c>
      <c r="B3" s="3" t="inlineStr">
        <is>
          <t>strong</t>
        </is>
      </c>
      <c r="C3" s="3" t="inlineStr">
        <is>
          <t>the karakatwas of the graha are bestowed in full force on this bhava's karakatwas.</t>
        </is>
      </c>
      <c r="D3" s="3" t="inlineStr">
        <is>
          <t>taught</t>
        </is>
      </c>
      <c r="E3" s="3" t="inlineStr">
        <is>
          <t>31</t>
        </is>
      </c>
    </row>
    <row r="4" ht="28.7" customHeight="1">
      <c r="A4" s="3" t="inlineStr">
        <is>
          <t>Own (Moolatrikona)</t>
        </is>
      </c>
      <c r="B4" s="3" t="inlineStr">
        <is>
          <t>strong</t>
        </is>
      </c>
      <c r="C4" s="3" t="inlineStr">
        <is>
          <t>in its Moolatrikona sign — exaltation / own house / MT sign quantify the results; the graha gives its karakatwas well.</t>
        </is>
      </c>
      <c r="D4" s="3" t="inlineStr">
        <is>
          <t>taught</t>
        </is>
      </c>
      <c r="E4" s="3" t="inlineStr">
        <is>
          <t>31</t>
        </is>
      </c>
    </row>
    <row r="5" ht="28.7" customHeight="1">
      <c r="A5" s="3" t="inlineStr">
        <is>
          <t>Own House</t>
        </is>
      </c>
      <c r="B5" s="3" t="inlineStr">
        <is>
          <t>strong</t>
        </is>
      </c>
      <c r="C5" s="3" t="inlineStr">
        <is>
          <t>in its own house — exaltation / own house / MT sign quantify the results; the graha gives its karakatwas well.</t>
        </is>
      </c>
      <c r="D5" s="3" t="inlineStr">
        <is>
          <t>taught</t>
        </is>
      </c>
      <c r="E5" s="3" t="inlineStr">
        <is>
          <t>31</t>
        </is>
      </c>
    </row>
    <row r="6">
      <c r="A6" s="3" t="inlineStr">
        <is>
          <t>Friend's House</t>
        </is>
      </c>
      <c r="B6" s="3" t="inlineStr">
        <is>
          <t>medium</t>
        </is>
      </c>
      <c r="C6" s="3" t="inlineStr">
        <is>
          <t>the graha is supported and gives its karakatwas with ease.</t>
        </is>
      </c>
      <c r="D6" s="3" t="inlineStr">
        <is>
          <t>blend</t>
        </is>
      </c>
      <c r="E6" s="3" t="inlineStr">
        <is>
          <t>12</t>
        </is>
      </c>
    </row>
    <row r="7">
      <c r="A7" s="3" t="inlineStr">
        <is>
          <t>Neutral House</t>
        </is>
      </c>
      <c r="B7" s="3" t="inlineStr">
        <is>
          <t>medium</t>
        </is>
      </c>
      <c r="C7" s="3" t="inlineStr">
        <is>
          <t>the results of the graha are moderate.</t>
        </is>
      </c>
      <c r="D7" s="3" t="inlineStr">
        <is>
          <t>blend</t>
        </is>
      </c>
      <c r="E7" s="3" t="inlineStr">
        <is>
          <t>12</t>
        </is>
      </c>
    </row>
    <row r="8">
      <c r="A8" s="3" t="inlineStr">
        <is>
          <t>Enemy's House</t>
        </is>
      </c>
      <c r="B8" s="3" t="inlineStr">
        <is>
          <t>weak</t>
        </is>
      </c>
      <c r="C8" s="3" t="inlineStr">
        <is>
          <t>the graha gives its karakatwas with difficulty.</t>
        </is>
      </c>
      <c r="D8" s="3" t="inlineStr">
        <is>
          <t>blend</t>
        </is>
      </c>
      <c r="E8" s="3" t="inlineStr">
        <is>
          <t>12</t>
        </is>
      </c>
    </row>
    <row r="9">
      <c r="A9" s="3" t="inlineStr">
        <is>
          <t>Debilitated</t>
        </is>
      </c>
      <c r="B9" s="3" t="inlineStr">
        <is>
          <t>weak</t>
        </is>
      </c>
      <c r="C9" s="3" t="inlineStr">
        <is>
          <t>the karakatwas of the graha come through diminished.</t>
        </is>
      </c>
      <c r="D9" s="3" t="inlineStr">
        <is>
          <t>taught</t>
        </is>
      </c>
      <c r="E9" s="3" t="inlineStr">
        <is>
          <t>31</t>
        </is>
      </c>
    </row>
    <row r="10" ht="28.7" customHeight="1">
      <c r="A10" s="3" t="inlineStr">
        <is>
          <t>Deep Debilitated</t>
        </is>
      </c>
      <c r="B10" s="3" t="inlineStr">
        <is>
          <t>weak</t>
        </is>
      </c>
      <c r="C10" s="3" t="inlineStr">
        <is>
          <t>the strongest form of debilitation (near the exact degree): the karakatwas are heavily diminished, though the graha still gives results.</t>
        </is>
      </c>
      <c r="D10" s="3" t="inlineStr">
        <is>
          <t>taught</t>
        </is>
      </c>
      <c r="E10" s="3" t="inlineStr">
        <is>
          <t>31</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8"/>
  <sheetViews>
    <sheetView zoomScaleNormal="100" workbookViewId="0">
      <pane ySplit="1" topLeftCell="A2" activePane="bottomLeft" state="frozen"/>
      <selection pane="bottomLeft" activeCell="A1" sqref="A1"/>
    </sheetView>
  </sheetViews>
  <sheetFormatPr baseColWidth="8" defaultColWidth="8.703125" defaultRowHeight="14.35"/>
  <cols>
    <col width="16" customWidth="1" min="1" max="4"/>
    <col width="70" customWidth="1" min="5" max="5"/>
  </cols>
  <sheetData>
    <row r="1">
      <c r="A1" s="10" t="inlineStr">
        <is>
          <t>Planet</t>
        </is>
      </c>
      <c r="B1" s="10" t="inlineStr">
        <is>
          <t>StrongHouse</t>
        </is>
      </c>
      <c r="C1" s="10" t="inlineStr">
        <is>
          <t>LostHouse</t>
        </is>
      </c>
      <c r="D1" s="10" t="inlineStr">
        <is>
          <t>Status</t>
        </is>
      </c>
      <c r="E1" s="10" t="inlineStr">
        <is>
          <t>Source</t>
        </is>
      </c>
    </row>
    <row r="2">
      <c r="A2" s="3" t="inlineStr">
        <is>
          <t>Sun</t>
        </is>
      </c>
      <c r="B2" s="3" t="n">
        <v>10</v>
      </c>
      <c r="C2" s="3" t="n">
        <v>4</v>
      </c>
      <c r="D2" s="3" t="inlineStr">
        <is>
          <t>taught</t>
        </is>
      </c>
      <c r="E2" s="3" t="inlineStr">
        <is>
          <t>Slides 33 and 39: Sun loses directional strength in the 4th and gains it in the 10th</t>
        </is>
      </c>
    </row>
    <row r="3" ht="28.7" customHeight="1">
      <c r="A3" s="3" t="inlineStr">
        <is>
          <t>Saturn</t>
        </is>
      </c>
      <c r="B3" s="3" t="n">
        <v>7</v>
      </c>
      <c r="C3" s="3" t="n">
        <v>1</v>
      </c>
      <c r="D3" s="3" t="inlineStr">
        <is>
          <t>taught</t>
        </is>
      </c>
      <c r="E3" s="3" t="inlineStr">
        <is>
          <t>Recording: Saturn is powerful in the 7th (example given); the opposite house is the standard rule</t>
        </is>
      </c>
    </row>
    <row r="4">
      <c r="A4" s="3" t="inlineStr">
        <is>
          <t>Moon</t>
        </is>
      </c>
      <c r="B4" s="3" t="n">
        <v>4</v>
      </c>
      <c r="C4" s="3" t="n">
        <v>10</v>
      </c>
      <c r="D4" s="3" t="inlineStr">
        <is>
          <t>standard</t>
        </is>
      </c>
      <c r="E4" s="3" t="inlineStr">
        <is>
          <t>Standard digbala table</t>
        </is>
      </c>
    </row>
    <row r="5">
      <c r="A5" s="3" t="inlineStr">
        <is>
          <t>Venus</t>
        </is>
      </c>
      <c r="B5" s="3" t="n">
        <v>4</v>
      </c>
      <c r="C5" s="3" t="n">
        <v>10</v>
      </c>
      <c r="D5" s="3" t="inlineStr">
        <is>
          <t>standard</t>
        </is>
      </c>
      <c r="E5" s="3" t="inlineStr">
        <is>
          <t>Standard digbala table</t>
        </is>
      </c>
    </row>
    <row r="6">
      <c r="A6" s="3" t="inlineStr">
        <is>
          <t>Mercury</t>
        </is>
      </c>
      <c r="B6" s="3" t="n">
        <v>1</v>
      </c>
      <c r="C6" s="3" t="n">
        <v>7</v>
      </c>
      <c r="D6" s="3" t="inlineStr">
        <is>
          <t>standard</t>
        </is>
      </c>
      <c r="E6" s="3" t="inlineStr">
        <is>
          <t>Standard digbala table</t>
        </is>
      </c>
    </row>
    <row r="7">
      <c r="A7" s="3" t="inlineStr">
        <is>
          <t>Jupiter</t>
        </is>
      </c>
      <c r="B7" s="3" t="n">
        <v>1</v>
      </c>
      <c r="C7" s="3" t="n">
        <v>7</v>
      </c>
      <c r="D7" s="3" t="inlineStr">
        <is>
          <t>standard</t>
        </is>
      </c>
      <c r="E7" s="3" t="inlineStr">
        <is>
          <t>Standard digbala table</t>
        </is>
      </c>
    </row>
    <row r="8">
      <c r="A8" s="3" t="inlineStr">
        <is>
          <t>Mars</t>
        </is>
      </c>
      <c r="B8" s="3" t="n">
        <v>10</v>
      </c>
      <c r="C8" s="3" t="n">
        <v>4</v>
      </c>
      <c r="D8" s="3" t="inlineStr">
        <is>
          <t>standard</t>
        </is>
      </c>
      <c r="E8" s="3" t="inlineStr">
        <is>
          <t>Standard digbala table</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D7"/>
  <sheetViews>
    <sheetView zoomScaleNormal="100" workbookViewId="0">
      <pane ySplit="1" topLeftCell="A2" activePane="bottomLeft" state="frozen"/>
      <selection pane="bottomLeft" activeCell="A1" sqref="A1"/>
    </sheetView>
  </sheetViews>
  <sheetFormatPr baseColWidth="8" defaultColWidth="8.703125" defaultRowHeight="14.35"/>
  <cols>
    <col width="16" customWidth="1" min="1" max="2"/>
    <col width="70" customWidth="1" min="3" max="3"/>
    <col width="16" customWidth="1" min="4" max="4"/>
  </cols>
  <sheetData>
    <row r="1">
      <c r="A1" s="10" t="inlineStr">
        <is>
          <t>Role</t>
        </is>
      </c>
      <c r="B1" s="10" t="inlineStr">
        <is>
          <t>Kind</t>
        </is>
      </c>
      <c r="C1" s="10" t="inlineStr">
        <is>
          <t>Text</t>
        </is>
      </c>
      <c r="D1" s="10" t="inlineStr">
        <is>
          <t>Slide</t>
        </is>
      </c>
    </row>
    <row r="2" ht="43" customHeight="1">
      <c r="A2" s="3" t="inlineStr">
        <is>
          <t>Maraka lord</t>
        </is>
      </c>
      <c r="B2" s="3" t="inlineStr">
        <is>
          <t>caution</t>
        </is>
      </c>
      <c r="C2" s="3" t="inlineStr">
        <is>
          <t>Lord of the 2nd or 7th — a principal Maraka. In its dasa / bhukti it can bring death-like suffering or disturbance of the health, if it operates before the time of death is promised.</t>
        </is>
      </c>
      <c r="D2" s="3" t="inlineStr">
        <is>
          <t>17</t>
        </is>
      </c>
    </row>
    <row r="3" ht="28.7" customHeight="1">
      <c r="A3" s="3" t="inlineStr">
        <is>
          <t>Maraka occupant</t>
        </is>
      </c>
      <c r="B3" s="3" t="inlineStr">
        <is>
          <t>caution</t>
        </is>
      </c>
      <c r="C3" s="3" t="inlineStr">
        <is>
          <t>Occupies a Maraka house (2nd or 7th). Planets occupying these houses can bring suffering or disturbance of the health during their dasa periods.</t>
        </is>
      </c>
      <c r="D3" s="3" t="inlineStr">
        <is>
          <t>17</t>
        </is>
      </c>
    </row>
    <row r="4" ht="28.7" customHeight="1">
      <c r="A4" s="3" t="inlineStr">
        <is>
          <t>Badhakadhipati</t>
        </is>
      </c>
      <c r="B4" s="3" t="inlineStr">
        <is>
          <t>caution</t>
        </is>
      </c>
      <c r="C4" s="3" t="inlineStr">
        <is>
          <t>Lord of the Badhaka house. In its dasa / bhukti it can obstruct — barriers, health issues and suffering may show up.</t>
        </is>
      </c>
      <c r="D4" s="3" t="inlineStr">
        <is>
          <t>21</t>
        </is>
      </c>
    </row>
    <row r="5">
      <c r="A5" s="3" t="inlineStr">
        <is>
          <t>Badhaka occupant</t>
        </is>
      </c>
      <c r="B5" s="3" t="inlineStr">
        <is>
          <t>caution</t>
        </is>
      </c>
      <c r="C5" s="3" t="inlineStr">
        <is>
          <t>Occupies the Badhakasthana. In its period the obstruction of that sign can be felt.</t>
        </is>
      </c>
      <c r="D5" s="3" t="inlineStr">
        <is>
          <t>21</t>
        </is>
      </c>
    </row>
    <row r="6" ht="28.7" customHeight="1">
      <c r="A6" s="3" t="inlineStr">
        <is>
          <t>Dusthana lord</t>
        </is>
      </c>
      <c r="B6" s="3" t="inlineStr">
        <is>
          <t>caution</t>
        </is>
      </c>
      <c r="C6" s="3" t="inlineStr">
        <is>
          <t>Lord of the 6th, 8th or 12th. In its dasa-bukti it can bring problems, impediments, enemies, lawsuits, accidents, injuries and surgeries.</t>
        </is>
      </c>
      <c r="D6" s="3" t="inlineStr">
        <is>
          <t>19</t>
        </is>
      </c>
    </row>
    <row r="7" ht="43" customHeight="1">
      <c r="A7" s="3" t="inlineStr">
        <is>
          <t>Trishadaya lord</t>
        </is>
      </c>
      <c r="B7" s="3" t="inlineStr">
        <is>
          <t>favourable</t>
        </is>
      </c>
      <c r="C7" s="3" t="inlineStr">
        <is>
          <t>Lord of the 3rd, 6th or 11th. Material success and money come in the Maha Dasha of such a lord; if it is a natural malefic (Saturn, Mars, Sun) in its own house, the results are simply amazing.</t>
        </is>
      </c>
      <c r="D7" s="3" t="inlineStr">
        <is>
          <t>23</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109"/>
  <sheetViews>
    <sheetView zoomScaleNormal="100" workbookViewId="0">
      <pane ySplit="1" topLeftCell="A10" activePane="bottomLeft" state="frozen"/>
      <selection pane="bottomLeft" activeCell="D34" sqref="D34"/>
    </sheetView>
  </sheetViews>
  <sheetFormatPr baseColWidth="8" defaultColWidth="8.703125" defaultRowHeight="14.35"/>
  <cols>
    <col width="16" customWidth="1" min="1" max="2"/>
    <col width="70" customWidth="1" min="3" max="4"/>
    <col width="16" customWidth="1" min="5" max="5"/>
    <col width="70" customWidth="1" min="6" max="6"/>
  </cols>
  <sheetData>
    <row r="1">
      <c r="A1" s="10" t="inlineStr">
        <is>
          <t>Planet</t>
        </is>
      </c>
      <c r="B1" s="10" t="inlineStr">
        <is>
          <t>House</t>
        </is>
      </c>
      <c r="C1" s="10" t="inlineStr">
        <is>
          <t>Points</t>
        </is>
      </c>
      <c r="D1" s="10" t="inlineStr">
        <is>
          <t>Extra</t>
        </is>
      </c>
      <c r="E1" s="10" t="inlineStr">
        <is>
          <t>Status</t>
        </is>
      </c>
      <c r="F1" s="10" t="inlineStr">
        <is>
          <t>Source</t>
        </is>
      </c>
    </row>
    <row r="2" ht="301" customHeight="1">
      <c r="A2" s="3" t="inlineStr">
        <is>
          <t>Sun</t>
        </is>
      </c>
      <c r="B2" s="3" t="n">
        <v>1</v>
      </c>
      <c r="C2" s="3" t="inlineStr">
        <is>
          <t>1st house/Ascendant is your self, personality, overall health, life path etc.
So, when Sun is in the 1st house, it can make a person very confident but at the same time very authoritative. They can be highly egoist. Wherever Sun is in your chart, that's where your ego is. He feels like King and he wants others to treat him like King. So, that's why this planetary placement is very common with people in high position or high ego. As Sun also represents father, this placement also shows that their life path is highly impacted by their father.
Also, as Sun's basic feature is fire and 1st house is Head, Sun here burns the hairs of person, i.e. they can also be bald.
As they are so much egoist type of, it is always better for them to have their own work because due to their ego, they can't work with others. In business also, they should not have partnerships, as partnership is about standing on equal grounds and these people due to their ego, want other partner to boost their ego.
With aspect of Sun on 7th house, same thing goes into their marriage, they try to dominate their partner through their ego which leads to ego battles in relationship.
All in all, their ego is their life lesson and they need to learn how to accommodate, adjust and be flexible in their approach towards others.</t>
        </is>
      </c>
      <c r="D2" s="3" t="inlineStr">
        <is>
          <t>Looks authoritative with a bright face (tejas); the first house is also the face.
Independent, self-made; does not like to take orders or work under anyone — a king cannot take orders.
Egoistic, gives a lot of importance to the body and takes good care of themselves.
Tendency to baldness or sparse hair (hot, pitta constitution; the Lagna is the head).
Does not mingle easily: sits at a distance in gatherings and likes people to come to them (a Mercury Lagna person would go and talk to everybody).
Royal bearing — walks upright and confident, often crosses the legs when sitting; very punctual; wants to be treated in a royal way; good name, fame and reputation.</t>
        </is>
      </c>
      <c r="E2" s="3" t="inlineStr">
        <is>
          <t>taught</t>
        </is>
      </c>
      <c r="F2" s="3" t="inlineStr">
        <is>
          <t>Slide 29 (verbatim) + class recording</t>
        </is>
      </c>
    </row>
    <row r="3" ht="258" customHeight="1">
      <c r="A3" s="3" t="inlineStr">
        <is>
          <t>Sun</t>
        </is>
      </c>
      <c r="B3" s="3" t="n">
        <v>2</v>
      </c>
      <c r="C3" s="3" t="inlineStr">
        <is>
          <t>Sun represents King, Government, Father, Authority, Career, Top Positions, Ego, Self Esteem etc.
2nd house represents, Family, Wealth, Family Lineage, Speech, Throat, Values etc.
So, when Sun comes in 2nd house, these people can be very egoistic about their family, lineage and wealth. They are always very proud of their family history and love to show it to the world. Father becomes the central figure in family.
Their speech becomes very authoritative. Sun's 7th aspect on 8th house gives great interest in occult and these people want to achieve authority there or by service to other people.
Again, Sun also burns a house. So, many a times, when Sun is in 2nd house can burn the advantages of family, i.e. they can live away from family or due to ego battles in family they feel like lost in family environment, especially in early childhood. .
Every planet has something good and something bad with it.</t>
        </is>
      </c>
      <c r="D3" s="3" t="inlineStr">
        <is>
          <t>Very proud of the family, lineage, family wealth and history, and likes to show it to the world.
Father becomes the most important person in the family; high expectation from the family and a separative influence — may stay away from the family because of ego issues.
Speech is commanding, authoritative and truthful, but the ego shows in it (boasting about self or family).
Income may come from the family, father, government or father-in-law; a source of permanent income; the family may have a very good, royal reputation.
Likes hot food, wheat-based food and spicy food.
Strong Sun (e.g. exalted for Meena Lagna) gives confidence and leadership in full force; weak Sun (e.g. debilitated for Kanya Lagna) gives ego and lack of confidence.</t>
        </is>
      </c>
      <c r="E3" s="3" t="inlineStr">
        <is>
          <t>taught</t>
        </is>
      </c>
      <c r="F3" s="3" t="inlineStr">
        <is>
          <t>Slide 30 (verbatim) + class recording</t>
        </is>
      </c>
    </row>
    <row r="4" ht="143.35" customHeight="1">
      <c r="A4" s="3" t="inlineStr">
        <is>
          <t>Sun</t>
        </is>
      </c>
      <c r="B4" s="3" t="n">
        <v>3</v>
      </c>
      <c r="C4" s="3" t="inlineStr">
        <is>
          <t>Sun in 3rd house makes one courageous, bold, adventurous person. He will have bold communication power and maturity, because of which he will have many friends. They will be expressive and communicate very effectively. He will not hesitate to take up any responsibility and courageously handles the situation. He will have a limited number of co-borns, well built personality. He may have a passion for writing especially for Government agencies.</t>
        </is>
      </c>
      <c r="D4" s="3" t="inlineStr">
        <is>
          <t>Courageous and adventurous; bold, powerful communication; takes up responsibility and handles situations well; a limited number of co-borns.
Writing is bold — presses hard while writing; the letter "I" is written big or bold (a strong sense of self); written communication is authoritative and to the point.
Loves to initiate new projects; the efforts are visible to the outside world because the Sun cannot hide anything.
Neighbours may be influential or in government; the younger co-born may be influential, in a government job or famous; support from influential people or government; travel for government work.
May dominate the younger co-born, or be dominated by them.</t>
        </is>
      </c>
      <c r="E4" s="3" t="inlineStr">
        <is>
          <t>taught</t>
        </is>
      </c>
      <c r="F4" s="3" t="inlineStr">
        <is>
          <t>Slide 32 (verbatim) + class recording</t>
        </is>
      </c>
    </row>
    <row r="5" ht="272.35" customHeight="1">
      <c r="A5" s="3" t="inlineStr">
        <is>
          <t>Sun</t>
        </is>
      </c>
      <c r="B5" s="3" t="n">
        <v>4</v>
      </c>
      <c r="C5" s="3" t="inlineStr">
        <is>
          <t>Sun represents King, Government, Father, Authority, Career, Top Positions, Ego, Self Esteem etc.
4th house represents your home, home environment, homeland, mother, nourishment, childhood friends, peace of mind, conveniences etc.
So, when Sun comes into 4th house, these people are very confident and proud of their home, home land and mother.
As Sun represents Father and Sun loses its directional strength in 4th house of Mother, this shows that Father remains absent from life and Mother takes the responsibilities of Father too. At the same time, it shows some ego battles in home and with Mother.
They can be in career related with home or real estate
As Sun also aspects the 10th house of career and fame and Sun represents authority, these people get their authority while working from home. As I said, if Sun illuminates things in a house, then it also burns it. So, it can lead to some ego conflicts at home and spoil the home environment. They can be working for local government too.</t>
        </is>
      </c>
      <c r="D5" s="3" t="inlineStr">
        <is>
          <t>Confident and proud of the home, the native place and the mother; the mother may be authoritative, dominating, egoistic, punctual, from a royal or influential family, or a good administrator.
May live in a government-provided house, have stone cladding in front of the house or big windows with a lot of light; may use a government vehicle.
Education in political science, administrative services or medicine, especially the heart.
The 4th is the heart: an enlightened soul, good-hearted and balanced.
Wherever the Sun is, activity of that bhava gives atma-tripti (soul satisfaction).</t>
        </is>
      </c>
      <c r="E5" s="3" t="inlineStr">
        <is>
          <t>taught</t>
        </is>
      </c>
      <c r="F5" s="3" t="inlineStr">
        <is>
          <t>Slide 33 (verbatim) + class recording</t>
        </is>
      </c>
    </row>
    <row r="6" ht="286.7" customHeight="1">
      <c r="A6" s="3" t="inlineStr">
        <is>
          <t>Sun</t>
        </is>
      </c>
      <c r="B6" s="3" t="n">
        <v>5</v>
      </c>
      <c r="C6" s="3" t="inlineStr">
        <is>
          <t>Sun represents King, Government, Father, Authority, Career, Top Positions, Ego, Self Esteem etc.
5th house represents Creativity, Happiness, Children, Innovation, Sports, Movies, Stock Trading, Gambling and Betting, Education, Ancient Texts etc.
As 5th house is natural house of Leo, the 5th sign, and as Sun rules Leo, Sun actually likes the environment of 5th house.
They are the natural celebrities. They want to get the status of celebrity or at least people should treat them like celebrities even if they are not.
They are very proud of their interests, hobbies &amp; creative pursuits and everything they achieve through it. Actually, their creative pursuits are the biggest ego satisfaction and source of confidence for them. .
But as I said if Sun illuminates things then it can also burn things related to that house. This position can cause scenario where people may face difficulties in having children or they can have ego conflicts with their children in later life. As it is also house of Romance, they can have ego issues with their love interests too which may even end the relation.</t>
        </is>
      </c>
      <c r="D6" s="3" t="inlineStr">
        <is>
          <t>Natural celebrities — they want the status of a celebrity or to be treated like one; creative pursuits are a source of ego satisfaction and confidence.
The eldest child brings good name and fame; good relationship with children but high expectations and a separative influence (the Sun is a malefic planet).
Purva punya is delivered through children; very good creativity; can become a good politician; higher education.
Atma-tripti through creative activity and hobbies.</t>
        </is>
      </c>
      <c r="E6" s="3" t="inlineStr">
        <is>
          <t>taught</t>
        </is>
      </c>
      <c r="F6" s="3" t="inlineStr">
        <is>
          <t>Slide 34 (verbatim) + class recording</t>
        </is>
      </c>
    </row>
    <row r="7" ht="258" customHeight="1">
      <c r="A7" s="3" t="inlineStr">
        <is>
          <t>Sun</t>
        </is>
      </c>
      <c r="B7" s="3" t="n">
        <v>6</v>
      </c>
      <c r="C7" s="3" t="inlineStr">
        <is>
          <t>6th house is 1st of Dushthana Houses (houses # 6, 8 and 12) and 2nd of Upachaya Houses (houses # 3, 6, 10 &amp; 11). 6th house represents things like diseases, debts, obstacles, enemies, disputes. litigations, daily routine life, colleagues at work place etc.
When Sun is in 6th house, this person likes to resolve the disputes between the two people and look for an amicable solution. That's why, 6th house actually signifies Career in Legal Field. 2nd Career it can give is Medical Field, as it is also a house of diseases.
This placement indicates many other things, like, person faces lots of obstacles in developing his career, his father also faces obstacles in his life. Person gets confidence in life after defeating his enemies and conflicts. It shows health issues to father and person himself.
Still, 6th house is an Upachaya House. So, best results of this placement can be seen in 30s. Before that, person has to fight head-on with all his competitors.
All in all, a very good placement for being a Lawyer or Doctor.</t>
        </is>
      </c>
      <c r="D7" s="3" t="inlineStr">
        <is>
          <t>Can choose a career in the legal or medical field and shine there.
Diseases: eye, heart, bone or heat-related problems.
Debt (runa): can easily get loans from government organisations and banks.
Very powerful, influential enemies; creates enemies through ego; may get diseases through bad eating habits or lifestyle, so health matters.
Maternal uncle may be influential, proud or in government service.
Atma-tripti through selfless service.</t>
        </is>
      </c>
      <c r="E7" s="3" t="inlineStr">
        <is>
          <t>taught</t>
        </is>
      </c>
      <c r="F7" s="3" t="inlineStr">
        <is>
          <t>Slide 35 (verbatim) + class recording</t>
        </is>
      </c>
    </row>
    <row r="8" ht="143.35" customHeight="1">
      <c r="A8" s="3" t="inlineStr">
        <is>
          <t>Sun</t>
        </is>
      </c>
      <c r="B8" s="3" t="n">
        <v>7</v>
      </c>
      <c r="C8" s="3" t="inlineStr">
        <is>
          <t>Sun represents King, Government, Father, Authority, Career, Top Positions, Ego, Self Esteem etc.
7th house is house of market place, other people (masses), business partnerships, marriage, spouse, marital happiness etc.
So, when Sun is in 7th house, it is complete conflict of 2 separate energies, i.e. Ego and Relation. Ego and Relation can't stay together. So, when Sun is in 7th house, one common theme is that person's relations are hammered by ego conflicts and ego battles with partner. Same fate can be seen for any partnership business too.</t>
        </is>
      </c>
      <c r="D8" s="3" t="inlineStr">
        <is>
          <t>Ego issues in marriage and business partnerships — they should learn to be more humble; separations are possible.
The spouse is well recognised, independent, egoistic, dominating, authoritative, with good administrative capacity; the business partner may be influential too.
High expectation from the spouse or partner and a separative influence; the partner may try to dominate or control.</t>
        </is>
      </c>
      <c r="E8" s="3" t="inlineStr">
        <is>
          <t>taught</t>
        </is>
      </c>
      <c r="F8" s="3" t="inlineStr">
        <is>
          <t>Slide 36 (verbatim) + class recording</t>
        </is>
      </c>
    </row>
    <row r="9" ht="243.7" customHeight="1">
      <c r="A9" s="3" t="inlineStr">
        <is>
          <t>Sun</t>
        </is>
      </c>
      <c r="B9" s="3" t="n">
        <v>8</v>
      </c>
      <c r="C9" s="3" t="inlineStr">
        <is>
          <t>Sun represents King, Government, Father, Authority, Career, Top Positions, Ego, Self Esteem etc.
8th house is house of secrecy, occult knowledge, death, transformation, death and re-birth, In laws family, joint wealth with spouse etc.
Sun is Confidence and 8th house is sudden ups and downs in life. So, when Sun is in 8th house, it shows that person's confidence will get a beating in early life due to sudden changes and ups/downs in life. They will meet such people or face such events which will naturally hurt their ego. Again, nothing can keep the Sun away from shinning all the time. More changes and challenges they face in life, more confident they become.
They can be in any career related with research, secrets and taxes. They can get into ego conflicts in matters of marriage and in-laws. This is something they need to work.
But this is again a placement which will give better result in 30s after person has seen through all the changes of life.</t>
        </is>
      </c>
      <c r="D9" s="3" t="inlineStr">
        <is>
          <t>Confidence takes a beating through ups and downs and the ego is hurt, but they come out more confident through the hardships.
Good researchers and astrologers; good for occult subjects, pranic healing and alternative medicine.
One of the Moksha trikonas (4, 8, 12): the soul seeks enlightenment; they may become aware of the time of death and plan accordingly.
Should not fall into bad habits such as drinking or smoking.
Good fault finders — suited to quality control, since the bright Sun makes any fault visible.
Inheritance from the father.</t>
        </is>
      </c>
      <c r="E9" s="3" t="inlineStr">
        <is>
          <t>taught</t>
        </is>
      </c>
      <c r="F9" s="3" t="inlineStr">
        <is>
          <t>Slide 37 (verbatim) + class recording</t>
        </is>
      </c>
    </row>
    <row r="10" ht="258" customHeight="1">
      <c r="A10" s="3" t="inlineStr">
        <is>
          <t>Sun</t>
        </is>
      </c>
      <c r="B10" s="3" t="n">
        <v>9</v>
      </c>
      <c r="C10" s="3" t="inlineStr">
        <is>
          <t>Sun represents King, Government, Father, Authority, Career, Top Positions, Ego, Self Esteem etc.
9th house represents Religion, Law, Faith, Fortune, Gurus, Teachings of Father etc.
Sun is Confidence and 9th house is house of Higher Education &amp; Knowledge. So, these people will gain confidence in life with knowledge. The more knowledgeable they are, the more confident they are. And it is not only about gaining knowledge but also about sharing knowledge. The more they share the knowledge with others, better they will find themselves in career and authority in life.
They can be interested in any type of knowledge which can range from academics to religious to philosophical. They can easily become teachers, professors, lawyers and philosophers. They can be interested in becoming religious Guru too.
But as Sun also burns the house it sits in, it brings ego conflicts with their teachers and Gurus. They can get into situations that they know better than their teachers, which might even be true.</t>
        </is>
      </c>
      <c r="D10" s="3" t="inlineStr">
        <is>
          <t>The father is dharmic and religious and gives importance to rituals and traditions; may be a good administrator; luck comes through the father (Bhagyasthana).
Good teachers, professors and lawyers, focused on their life path.
Confidence comes from knowledge and they love to share it — academic, religious, spiritual and philosophical; interest in a guru, and they get very good gurus.</t>
        </is>
      </c>
      <c r="E10" s="3" t="inlineStr">
        <is>
          <t>taught</t>
        </is>
      </c>
      <c r="F10" s="3" t="inlineStr">
        <is>
          <t>Slide 38 (verbatim) + class recording</t>
        </is>
      </c>
    </row>
    <row r="11" ht="358.35" customHeight="1">
      <c r="A11" s="3" t="inlineStr">
        <is>
          <t>Sun</t>
        </is>
      </c>
      <c r="B11" s="3" t="n">
        <v>10</v>
      </c>
      <c r="C11" s="3" t="inlineStr">
        <is>
          <t>Sun represents King, Government, Father, Authority, Career, Top Positions, Ego, Self Esteem etc.
10th house almost represents the same things like Government, Father, Authority, Fame etc. Here, Authority should not be understood in literal sense, like someone got a Government job or became a Manager or CEO of a Firm. Here Authority means doing any work with complete perfection and your opinion matters when comes to making any decision related to that work, so even a good Hacker can be a person of authority as he is master of that particular work.
Also, it is good to keep in mind that it is basically house of Sun's enemy Saturn, as 10th zodiac sign is Capricorn, which represents the energy of 10th house, and Capricorn's lord is Saturn.
Sun in 10th house is a very strong position of Sun. It is because Sun gets directional strength in 10th house. These people can be working in high authoritative positions in Govt/Private Sector. Unless they gain such a position, they may not feel confident and good about themselves. Their ego lies in high positions. There is always a burning desire within them to be in top position in their work.
But as 10th house is again Upachaya House, they may not get such position in early career. They have to work really hard to get there in their 30s. Till then, it is all hard work and perseverance.
As always, Sun burns the significance of 10th house which can cause ego conflicts with father and other people of authority.</t>
        </is>
      </c>
      <c r="D11" s="3" t="inlineStr">
        <is>
          <t>Digbala: a very powerful position — good name, fame and recognition; wonderful for politicians and people in the public eye.
Go into high positions such as CEO; administrative, authoritative, disciplined; their work is appreciated; they achieve their dreams through the profession.
A burning desire to rise to the top; they will rise with hard work, but must keep the ego in check and give weight to co-workers' views.
May be in a government job or a profession connected to the government; the mother-in-law may be dominating, egoistic and a good leader.</t>
        </is>
      </c>
      <c r="E11" s="3" t="inlineStr">
        <is>
          <t>taught</t>
        </is>
      </c>
      <c r="F11" s="3" t="inlineStr">
        <is>
          <t>Slide 39 (verbatim) + class recording</t>
        </is>
      </c>
    </row>
    <row r="12" ht="258" customHeight="1">
      <c r="A12" s="3" t="inlineStr">
        <is>
          <t>Sun</t>
        </is>
      </c>
      <c r="B12" s="3" t="n">
        <v>11</v>
      </c>
      <c r="C12" s="3" t="inlineStr">
        <is>
          <t>Sun represents King, Government, Father, Authority, Career, Top Positions, Ego, Self Esteem etc.
11th house represents Elder Siblings, Large Organizations, Huge Structures, Network Circle, Friends, Gains, Income and Earnings etc.
Highest representation of 11th house is in serving humanity and serving a higher cause. So, if Sun is in 11th house, person can gain in career, confidence and authority only when he dedicates himself to a higher cause and towards serving the whole humanity itself. Other significance of this position is that they can be in high positions in large organisations.
But as 11th house is Upachaya House again, it shows that they will get the best results of Sun in 11th house in their 30s. Till then, it can be all about putting your best efforts.
As Sun naturally causes Ego Conflicts, here ego battles can be with your friends, networking circle and elder siblings. In many cases, person may not even have any elder sibling</t>
        </is>
      </c>
      <c r="D12" s="3" t="inlineStr">
        <is>
          <t>Focused on the fulfilment of desires; happy spending time with friends, who come from royal or influential families.
An active social life, recognised in society, with good name and fame; the elder sibling shares these qualities, but being a separative planet the Sun can mean a strained relationship or living apart from the elder sibling.
Atma-tripti through friendships and networking.</t>
        </is>
      </c>
      <c r="E12" s="3" t="inlineStr">
        <is>
          <t>taught</t>
        </is>
      </c>
      <c r="F12" s="3" t="inlineStr">
        <is>
          <t>Slide 40 (verbatim) + class recording</t>
        </is>
      </c>
    </row>
    <row r="13" ht="329.7" customHeight="1">
      <c r="A13" s="3" t="inlineStr">
        <is>
          <t>Sun</t>
        </is>
      </c>
      <c r="B13" s="3" t="n">
        <v>12</v>
      </c>
      <c r="C13" s="3" t="inlineStr">
        <is>
          <t>Sun represents King, Government, Father, Authority, Career, Top Positions, Ego, Self Esteem etc.
12th house is house of Losses, Expenses, Isolated Places, Foreign Lands, Asylums, Jails, Hospitals etc.
One thing to always keep in mind with 12th house is that it basically remains the house of losses. So, whichever planet goes in 12th house, even exalted, is in the bucket of losses. Now, to gain out of any such planet, you need to put double effort in things related with that planet.
Sun is Ego &amp; Confidence and 12th house is house of losses. So, these people begin their lives with lack of confidence and lack of self-worth. They gain their confidence with life. Mostly, they gain confidence and authority only in foreign lands. So, if at all they get a chance to move to foreign lands or places away from birth place, they must grab that chance.
They can be working for foreign govt or their own govt in foreign lands. They will get best authority or career in foreign lands but after much delay and hard efforts. They will have to work really hard to get some confidence within.
They can have some ego conflicts with spiritual Gurus where they may feel that those people are not giving correct teachings.</t>
        </is>
      </c>
      <c r="D13" s="3" t="inlineStr">
        <is>
          <t>Lacks confidence and does not know their own worth; they gain confidence and authority in foreign lands, so should move away from the birthplace if given the chance.
A Moksha trikona: the atma looks for moksha, so they are spiritual; spiritual activity gives atma-tripti.
The bright Sun illuminates the 12th, so hidden enemies become visible.
The relationship with the father may not be great, or they live far from the father; expenses may go towards the father or health.</t>
        </is>
      </c>
      <c r="E13" s="3" t="inlineStr">
        <is>
          <t>taught</t>
        </is>
      </c>
      <c r="F13" s="3" t="inlineStr">
        <is>
          <t>Slide 41 (verbatim) + class recording</t>
        </is>
      </c>
    </row>
    <row r="14" ht="186.35" customHeight="1">
      <c r="A14" s="3" t="inlineStr">
        <is>
          <t>Moon</t>
        </is>
      </c>
      <c r="B14" s="3" t="n">
        <v>1</v>
      </c>
      <c r="C14" s="3" t="inlineStr">
        <is>
          <t>With the Moon in the 1st, the self is gentle, caring and sensitive; the personality is imaginative and the mood can change as quickly as emotions do.
The 1st house is the body and appearance, so the Moon's soft, feminine, water-element nature is often seen in a rounded, pleasant look and in popularity with the public.
A strong, waxing Moon gives an easy rapport with people; a weak or waning Moon can bring restlessness, mental strain and a tendency towards cold, phlegm and low immunity.
The mother and the Moon's emotional memory shape the life path; peace of mind is the lesson.</t>
        </is>
      </c>
      <c r="D14" s="3" t="n"/>
      <c r="E14" s="3" t="inlineStr">
        <is>
          <t>curated</t>
        </is>
      </c>
      <c r="F14" s="3" t="inlineStr">
        <is>
          <t>PLANET_PROFILE[Moon: Relationships, Personality Traits, Profession / Status, Body Parts Ruled, General Health Indicator] + BHAVA_INFO[1: sig, body, rel]</t>
        </is>
      </c>
    </row>
    <row r="15" ht="157.7" customHeight="1">
      <c r="A15" s="3" t="inlineStr">
        <is>
          <t>Moon</t>
        </is>
      </c>
      <c r="B15" s="3" t="n">
        <v>2</v>
      </c>
      <c r="C15" s="3" t="inlineStr">
        <is>
          <t>The Moon in the 2nd softens speech: words are gentle, caring and emotional, and the person is deeply attached to family and lineage.
Wealth and savings rise and fall like the Moon; income can come through milk, food, hotel, grocery or other public-facing trades, and money often follows the mood.
Food habits matter here: a liking for milk-based and comfort food; the face and eyes (the Moon rules the left eye) deserve care.
This is also a Maraka house, so emotional stress over family and money can disturb the mind during the Moon's period.</t>
        </is>
      </c>
      <c r="D15" s="3" t="n"/>
      <c r="E15" s="3" t="inlineStr">
        <is>
          <t>curated</t>
        </is>
      </c>
      <c r="F15" s="3" t="inlineStr">
        <is>
          <t>PLANET_PROFILE[Moon: Relationships, Personality Traits, Profession / Status, Body Parts Ruled, General Health Indicator] + BHAVA_INFO[2: sig, body, rel]</t>
        </is>
      </c>
    </row>
    <row r="16" ht="143.35" customHeight="1">
      <c r="A16" s="3" t="inlineStr">
        <is>
          <t>Moon</t>
        </is>
      </c>
      <c r="B16" s="3" t="n">
        <v>3</v>
      </c>
      <c r="C16" s="3" t="inlineStr">
        <is>
          <t>The Moon in the 3rd gives a sensitive, imaginative way of communicating; writing, media and the arts of expression come naturally.
There is a close emotional bond with younger siblings and neighbours, and frequent short journeys; courage is real but fluctuates with the mood.
Self-effort asks for steady routine, as the Moon's changeability can interrupt hobbies and business drives.
Neck, shoulders and ears may carry the tension of an overworked mind.</t>
        </is>
      </c>
      <c r="D16" s="3" t="n"/>
      <c r="E16" s="3" t="inlineStr">
        <is>
          <t>curated</t>
        </is>
      </c>
      <c r="F16" s="3" t="inlineStr">
        <is>
          <t>PLANET_PROFILE[Moon: Relationships, Personality Traits, Profession / Status, Body Parts Ruled, General Health Indicator] + BHAVA_INFO[3: sig, body, rel]</t>
        </is>
      </c>
    </row>
    <row r="17" ht="143.35" customHeight="1">
      <c r="A17" s="3" t="inlineStr">
        <is>
          <t>Moon</t>
        </is>
      </c>
      <c r="B17" s="3" t="n">
        <v>4</v>
      </c>
      <c r="C17" s="3" t="inlineStr">
        <is>
          <t>The Moon is a natural karaka of the 4th: attachment to the mother, home and motherland is deep, and peace of mind depends on the domestic atmosphere.
Ancestral or landed property, vehicles and a comfortable home are often part of the story; schooling up to graduation goes smoothly when the mind is settled.
A strong Moon here gives contentment; a weak or waning Moon can bring restlessness at home, changes of residence and chest or lung sensitivity.
Emotions are the key lesson: nurture others without being swallowed by moods.</t>
        </is>
      </c>
      <c r="D17" s="3" t="n"/>
      <c r="E17" s="3" t="inlineStr">
        <is>
          <t>curated</t>
        </is>
      </c>
      <c r="F17" s="3" t="inlineStr">
        <is>
          <t>PLANET_PROFILE[Moon: Relationships, Personality Traits, Profession / Status, Body Parts Ruled, General Health Indicator] + BHAVA_INFO[4: sig, body, rel]</t>
        </is>
      </c>
    </row>
    <row r="18" ht="143.35" customHeight="1">
      <c r="A18" s="3" t="inlineStr">
        <is>
          <t>Moon</t>
        </is>
      </c>
      <c r="B18" s="3" t="n">
        <v>5</v>
      </c>
      <c r="C18" s="3" t="inlineStr">
        <is>
          <t>The Moon in the 5th gives an imaginative, creative mind with a flair for music, drama, poetry and entertainment.
Love and romance are emotional and sincere; the bond with children is nurturing and protective.
Studies and mantra upasana flourish when the mind is calm; speculation (stock market, lottery) follows mood, so caution is wise.
Digestion and the stomach are sensitive to worry; past-life merit shows as intuition.</t>
        </is>
      </c>
      <c r="D18" s="3" t="n"/>
      <c r="E18" s="3" t="inlineStr">
        <is>
          <t>curated</t>
        </is>
      </c>
      <c r="F18" s="3" t="inlineStr">
        <is>
          <t>PLANET_PROFILE[Moon: Relationships, Personality Traits, Profession / Status, Body Parts Ruled, General Health Indicator] + BHAVA_INFO[5: sig, body, rel]</t>
        </is>
      </c>
    </row>
    <row r="19" ht="157.7" customHeight="1">
      <c r="A19" s="3" t="inlineStr">
        <is>
          <t>Moon</t>
        </is>
      </c>
      <c r="B19" s="3" t="n">
        <v>6</v>
      </c>
      <c r="C19" s="3" t="inlineStr">
        <is>
          <t>The Moon in the 6th makes the mind vulnerable to worry over enemies, debts and daily routine; stress tends to show as digestive or fluid disorders.
Service in caring fields — nursing, hospitality, healing — can use the Moon's sensitivity well, and the 6th improves with time.
Cold, cough, phlegm and low immunity are the usual health signals; disputes with colleagues are softened by a gentle approach.
The mother or maternal relatives may need care; emotional eating or habits are worth watching.</t>
        </is>
      </c>
      <c r="D19" s="3" t="n"/>
      <c r="E19" s="3" t="inlineStr">
        <is>
          <t>curated</t>
        </is>
      </c>
      <c r="F19" s="3" t="inlineStr">
        <is>
          <t>PLANET_PROFILE[Moon: Relationships, Personality Traits, Profession / Status, Body Parts Ruled, General Health Indicator] + BHAVA_INFO[6: sig, body, rel]</t>
        </is>
      </c>
    </row>
    <row r="20" ht="143.35" customHeight="1">
      <c r="A20" s="3" t="inlineStr">
        <is>
          <t>Moon</t>
        </is>
      </c>
      <c r="B20" s="3" t="n">
        <v>7</v>
      </c>
      <c r="C20" s="3" t="inlineStr">
        <is>
          <t>The Moon in the 7th points to a caring, emotionally attached spouse and a marriage that is shaped by feelings and mutual care.
Dealings with the public and the market are a strength: hotel, dairy, travel and other mass-facing businesses suit this placement.
Moods in partnerships can swing; clear communication helps. This is a Maraka house, so mental strain in close partnerships deserves attention.
Kidneys and the urinary bladder are the body parts to look after.</t>
        </is>
      </c>
      <c r="D20" s="3" t="n"/>
      <c r="E20" s="3" t="inlineStr">
        <is>
          <t>curated</t>
        </is>
      </c>
      <c r="F20" s="3" t="inlineStr">
        <is>
          <t>PLANET_PROFILE[Moon: Relationships, Personality Traits, Profession / Status, Body Parts Ruled, General Health Indicator] + BHAVA_INFO[7: sig, body, rel]</t>
        </is>
      </c>
    </row>
    <row r="21" ht="143.35" customHeight="1">
      <c r="A21" s="3" t="inlineStr">
        <is>
          <t>Moon</t>
        </is>
      </c>
      <c r="B21" s="3" t="n">
        <v>8</v>
      </c>
      <c r="C21" s="3" t="inlineStr">
        <is>
          <t>The Moon in the 8th brings depth of feeling, intuition and an interest in the occult, research and hidden matters.
The mind can go through anxiety and sudden emotional turns; sudden events or unexpected changes tend to be felt on the inside first.
Inheritance or support may come through the mother or women; chronic fluid, bladder or mental-health issues call for regular care.
Transformation is the lesson: emotional anchoring and a spiritual routine give stability.</t>
        </is>
      </c>
      <c r="D21" s="3" t="n"/>
      <c r="E21" s="3" t="inlineStr">
        <is>
          <t>curated</t>
        </is>
      </c>
      <c r="F21" s="3" t="inlineStr">
        <is>
          <t>PLANET_PROFILE[Moon: Relationships, Personality Traits, Profession / Status, Body Parts Ruled, General Health Indicator] + BHAVA_INFO[8: sig, body, rel]</t>
        </is>
      </c>
    </row>
    <row r="22" ht="129" customHeight="1">
      <c r="A22" s="3" t="inlineStr">
        <is>
          <t>Moon</t>
        </is>
      </c>
      <c r="B22" s="3" t="n">
        <v>9</v>
      </c>
      <c r="C22" s="3" t="inlineStr">
        <is>
          <t>The Moon in the 9th gives a devotional, nurturing view of dharma; fortune tends to come through the public, travel and the blessings of the mother.
There is emotional respect for gurus, teachers and the father's line; higher studies and pilgrimage appeal.
Beliefs may shift with moods; steady practice keeps faith grounded.
Long journeys, especially by or near water, can be rewarding.</t>
        </is>
      </c>
      <c r="D22" s="3" t="n"/>
      <c r="E22" s="3" t="inlineStr">
        <is>
          <t>curated</t>
        </is>
      </c>
      <c r="F22" s="3" t="inlineStr">
        <is>
          <t>PLANET_PROFILE[Moon: Relationships, Personality Traits, Profession / Status, Body Parts Ruled, General Health Indicator] + BHAVA_INFO[9: sig, body, rel]</t>
        </is>
      </c>
    </row>
    <row r="23" ht="129" customHeight="1">
      <c r="A23" s="3" t="inlineStr">
        <is>
          <t>Moon</t>
        </is>
      </c>
      <c r="B23" s="3" t="n">
        <v>10</v>
      </c>
      <c r="C23" s="3" t="inlineStr">
        <is>
          <t>The Moon in the 10th gives public-facing careers — hotel industry, nursing, travel, dairy, agriculture, caring professions — and fame through popularity with the public.
Reputation follows emotions: it can rise and fall, and career changes are common.
The mother may influence the choice of work; authority is exercised with care rather than force.
Knees and the mind are the body areas to protect from overwork.</t>
        </is>
      </c>
      <c r="D23" s="3" t="n"/>
      <c r="E23" s="3" t="inlineStr">
        <is>
          <t>curated</t>
        </is>
      </c>
      <c r="F23" s="3" t="inlineStr">
        <is>
          <t>PLANET_PROFILE[Moon: Relationships, Personality Traits, Profession / Status, Body Parts Ruled, General Health Indicator] + BHAVA_INFO[10: sig, body, rel]</t>
        </is>
      </c>
    </row>
    <row r="24" ht="129" customHeight="1">
      <c r="A24" s="3" t="inlineStr">
        <is>
          <t>Moon</t>
        </is>
      </c>
      <c r="B24" s="3" t="n">
        <v>11</v>
      </c>
      <c r="C24" s="3" t="inlineStr">
        <is>
          <t>The Moon in the 11th favours gains through the public, friends and women; the network is wide and emotionally warm.
Income comes in waves rather than in a straight line; desires are fulfilled through steady, regular effort.
Elder siblings and friends are caring, though moods in friendships need patience.
Large organisations and public-oriented ventures suit this placement.</t>
        </is>
      </c>
      <c r="D24" s="3" t="n"/>
      <c r="E24" s="3" t="inlineStr">
        <is>
          <t>curated</t>
        </is>
      </c>
      <c r="F24" s="3" t="inlineStr">
        <is>
          <t>PLANET_PROFILE[Moon: Relationships, Personality Traits, Profession / Status, Body Parts Ruled, General Health Indicator] + BHAVA_INFO[11: sig, body, rel]</t>
        </is>
      </c>
    </row>
    <row r="25" ht="157.7" customHeight="1">
      <c r="A25" s="3" t="inlineStr">
        <is>
          <t>Moon</t>
        </is>
      </c>
      <c r="B25" s="3" t="n">
        <v>12</v>
      </c>
      <c r="C25" s="3" t="inlineStr">
        <is>
          <t>The Moon in the 12th gives a vivid dream life, deep sleep needs and a taste for bed comforts, solitude and retreat.
Expenses tend towards comfort, family and charity; residence abroad or in secluded places is possible.
The mind can over-think; the left eye (ruled by both the Moon and the 12th) and sleep need care.
Spiritual practice, hospitals, ashrams and quiet service suit this placement and bring peace of mind.</t>
        </is>
      </c>
      <c r="D25" s="3" t="n"/>
      <c r="E25" s="3" t="inlineStr">
        <is>
          <t>curated</t>
        </is>
      </c>
      <c r="F25" s="3" t="inlineStr">
        <is>
          <t>PLANET_PROFILE[Moon: Relationships, Personality Traits, Profession / Status, Body Parts Ruled, General Health Indicator] + BHAVA_INFO[12: sig, body, rel]</t>
        </is>
      </c>
    </row>
    <row r="26" ht="143.35" customHeight="1">
      <c r="A26" s="3" t="inlineStr">
        <is>
          <t>Mars</t>
        </is>
      </c>
      <c r="B26" s="3" t="n">
        <v>1</v>
      </c>
      <c r="C26" s="3" t="inlineStr">
        <is>
          <t>Mars in the 1st makes the person courageous, energetic and action-oriented; the personality is assertive, hasty and competitive.
The body is athletic and the head and face may carry scars, cuts or marks; the 1st is the head, so headaches and blood-pressure swings are worth watching.
Temper and impulsiveness are the lesson: leadership works best when anger is channelled into action.
Marriage is traditionally checked for Kuja (Mangal) dosha with this placement.</t>
        </is>
      </c>
      <c r="D26" s="3" t="n"/>
      <c r="E26" s="3" t="inlineStr">
        <is>
          <t>curated</t>
        </is>
      </c>
      <c r="F26" s="3" t="inlineStr">
        <is>
          <t>PLANET_PROFILE[Mars: Relationships, Personality Traits, Profession / Status, Body Parts Ruled, General Health Indicator] + BHAVA_INFO[1: sig, body, rel]</t>
        </is>
      </c>
    </row>
    <row r="27" ht="143.35" customHeight="1">
      <c r="A27" s="3" t="inlineStr">
        <is>
          <t>Mars</t>
        </is>
      </c>
      <c r="B27" s="3" t="n">
        <v>2</v>
      </c>
      <c r="C27" s="3" t="inlineStr">
        <is>
          <t>Mars in the 2nd gives sharp, blunt speech; family discussions can turn into arguments if anger is not controlled.
Wealth comes through effort, property, engineering or energetic professions; impulsive spending can drain savings.
Teeth, mouth and face are the body areas to protect; spicy and hot food is favoured.
Kuja dosha is checked here for marriage; this is also a Maraka house, so heated disputes at home are best avoided.</t>
        </is>
      </c>
      <c r="D27" s="3" t="n"/>
      <c r="E27" s="3" t="inlineStr">
        <is>
          <t>curated</t>
        </is>
      </c>
      <c r="F27" s="3" t="inlineStr">
        <is>
          <t>PLANET_PROFILE[Mars: Relationships, Personality Traits, Profession / Status, Body Parts Ruled, General Health Indicator] + BHAVA_INFO[2: sig, body, rel]</t>
        </is>
      </c>
    </row>
    <row r="28" ht="143.35" customHeight="1">
      <c r="A28" s="3" t="inlineStr">
        <is>
          <t>Mars</t>
        </is>
      </c>
      <c r="B28" s="3" t="n">
        <v>3</v>
      </c>
      <c r="C28" s="3" t="inlineStr">
        <is>
          <t>Mars is the natural karaka of the 3rd: courage, stamina and will-power are strong, and self-effort pays off over time.
The bond with younger siblings can be protective or competitive; sports, defence, mechanical work and bold writing or media suit the person.
Short journeys are frequent; the drive to do business is high, though haste can cause mistakes.
Arms, shoulders and the neck need care from strain or injury.</t>
        </is>
      </c>
      <c r="D28" s="3" t="n"/>
      <c r="E28" s="3" t="inlineStr">
        <is>
          <t>curated</t>
        </is>
      </c>
      <c r="F28" s="3" t="inlineStr">
        <is>
          <t>PLANET_PROFILE[Mars: Relationships, Personality Traits, Profession / Status, Body Parts Ruled, General Health Indicator] + BHAVA_INFO[3: sig, body, rel]</t>
        </is>
      </c>
    </row>
    <row r="29" ht="143.35" customHeight="1">
      <c r="A29" s="3" t="inlineStr">
        <is>
          <t>Mars</t>
        </is>
      </c>
      <c r="B29" s="3" t="n">
        <v>4</v>
      </c>
      <c r="C29" s="3" t="inlineStr">
        <is>
          <t>Mars is the Bhoomi karaka, so in the 4th the interest in land, property, construction and vehicles is strong.
Peace of mind and domestic harmony can be disturbed by anger or restlessness; the mother's health or temperament deserves attention.
The chest, heart and blood pressure need monitoring.
Kuja dosha is checked here for marriage; patience at home turns the energy into security.</t>
        </is>
      </c>
      <c r="D29" s="3" t="n"/>
      <c r="E29" s="3" t="inlineStr">
        <is>
          <t>curated</t>
        </is>
      </c>
      <c r="F29" s="3" t="inlineStr">
        <is>
          <t>PLANET_PROFILE[Mars: Relationships, Personality Traits, Profession / Status, Body Parts Ruled, General Health Indicator] + BHAVA_INFO[4: sig, body, rel]</t>
        </is>
      </c>
    </row>
    <row r="30" ht="129" customHeight="1">
      <c r="A30" s="3" t="inlineStr">
        <is>
          <t>Mars</t>
        </is>
      </c>
      <c r="B30" s="3" t="n">
        <v>5</v>
      </c>
      <c r="C30" s="3" t="inlineStr">
        <is>
          <t>Mars in the 5th gives a sharp, competitive intellect with a flair for sports, strategy, engineering and quick decisions.
Romance is impulsive and passionate; children are energetic and strong-willed and may need guidance.
Speculation is risky; mantra upasana of a fiery deity channels the energy well.
Acidity and heat in the stomach and liver call for a cooling diet.</t>
        </is>
      </c>
      <c r="D30" s="3" t="n"/>
      <c r="E30" s="3" t="inlineStr">
        <is>
          <t>curated</t>
        </is>
      </c>
      <c r="F30" s="3" t="inlineStr">
        <is>
          <t>PLANET_PROFILE[Mars: Relationships, Personality Traits, Profession / Status, Body Parts Ruled, General Health Indicator] + BHAVA_INFO[5: sig, body, rel]</t>
        </is>
      </c>
    </row>
    <row r="31" ht="143.35" customHeight="1">
      <c r="A31" s="3" t="inlineStr">
        <is>
          <t>Mars</t>
        </is>
      </c>
      <c r="B31" s="3" t="n">
        <v>6</v>
      </c>
      <c r="C31" s="3" t="inlineStr">
        <is>
          <t>Mars is strong in the 6th: it helps win over enemies, competitors and debts, and the spirit of competition is high.
Police, army, security, surgery, medicine and other healing or service fields suit this placement.
Cuts, inflammations, accidents and infections of the small intestine are the cautionary side; litigation is won with vigour but not with haste.
The 6th improves with time, so results strengthen steadily.</t>
        </is>
      </c>
      <c r="D31" s="3" t="n"/>
      <c r="E31" s="3" t="inlineStr">
        <is>
          <t>curated</t>
        </is>
      </c>
      <c r="F31" s="3" t="inlineStr">
        <is>
          <t>PLANET_PROFILE[Mars: Relationships, Personality Traits, Profession / Status, Body Parts Ruled, General Health Indicator] + BHAVA_INFO[6: sig, body, rel]</t>
        </is>
      </c>
    </row>
    <row r="32" ht="143.35" customHeight="1">
      <c r="A32" s="3" t="inlineStr">
        <is>
          <t>Mars</t>
        </is>
      </c>
      <c r="B32" s="3" t="n">
        <v>7</v>
      </c>
      <c r="C32" s="3" t="inlineStr">
        <is>
          <t>Mars in the 7th brings passion and force into partnerships; the spouse is energetic and strong-willed, and ego clashes are the main risk.
Business partnerships need clear boundaries and shared decisions; dealings with the public are bold.
Kuja dosha is traditionally checked for marriage; this is also a Maraka house, so heated disputes and health strain in close ties are worth avoiding.
Kidneys, bladder and the urinary system need care.</t>
        </is>
      </c>
      <c r="D32" s="3" t="n"/>
      <c r="E32" s="3" t="inlineStr">
        <is>
          <t>curated</t>
        </is>
      </c>
      <c r="F32" s="3" t="inlineStr">
        <is>
          <t>PLANET_PROFILE[Mars: Relationships, Personality Traits, Profession / Status, Body Parts Ruled, General Health Indicator] + BHAVA_INFO[7: sig, body, rel]</t>
        </is>
      </c>
    </row>
    <row r="33" ht="143.35" customHeight="1">
      <c r="A33" s="3" t="inlineStr">
        <is>
          <t>Mars</t>
        </is>
      </c>
      <c r="B33" s="3" t="n">
        <v>8</v>
      </c>
      <c r="C33" s="3" t="inlineStr">
        <is>
          <t>Mars in the 8th brings courage in crises and an interest in research, surgery, investigation and the occult.
Sudden events, accidents, injuries, bleeding and surgeries are the cautionary side; care with speed, fire and sharp tools is wise.
Inheritance or insurance may come through struggle; stamina for long-lasting problems is good.
Kuja dosha is checked here for marriage; the spouse's family is an influence.</t>
        </is>
      </c>
      <c r="D33" s="3" t="n"/>
      <c r="E33" s="3" t="inlineStr">
        <is>
          <t>curated</t>
        </is>
      </c>
      <c r="F33" s="3" t="inlineStr">
        <is>
          <t>PLANET_PROFILE[Mars: Relationships, Personality Traits, Profession / Status, Body Parts Ruled, General Health Indicator] + BHAVA_INFO[8: sig, body, rel]</t>
        </is>
      </c>
    </row>
    <row r="34" ht="143.35" customHeight="1">
      <c r="A34" s="3" t="inlineStr">
        <is>
          <t>Mars</t>
        </is>
      </c>
      <c r="B34" s="3" t="n">
        <v>9</v>
      </c>
      <c r="C34" s="3" t="inlineStr">
        <is>
          <t>Mars in the 9th gives a crusading, action-oriented approach to dharma; fortune comes through effort rather than luck.
Friction with the father, gurus or teachers is possible, though respect grows with maturity.
Moral standards are strongly defended; long-distance travel and pilgrimages are adventurous.
The thighs and hips are the body areas to protect from injury.</t>
        </is>
      </c>
      <c r="D34" s="3" t="n"/>
      <c r="E34" s="3" t="inlineStr">
        <is>
          <t>curated</t>
        </is>
      </c>
      <c r="F34" s="3" t="inlineStr">
        <is>
          <t>PLANET_PROFILE[Mars: Relationships, Personality Traits, Profession / Status, Body Parts Ruled, General Health Indicator] + BHAVA_INFO[9: sig, body, rel]</t>
        </is>
      </c>
    </row>
    <row r="35" ht="143.35" customHeight="1">
      <c r="A35" s="3" t="inlineStr">
        <is>
          <t>Mars</t>
        </is>
      </c>
      <c r="B35" s="3" t="n">
        <v>10</v>
      </c>
      <c r="C35" s="3" t="inlineStr">
        <is>
          <t>Mars in the 10th gives drive, authority and a talent for leading: engineering, police, army, surgery, sports and supervisory roles suit this placement.
Recognition comes through valour and achievement, and property or land may be part of the profession.
Clashes with superiors or rivals are the cautionary side; steady, patient effort turns the energy into lasting status.
The knees need care from heavy physical work.</t>
        </is>
      </c>
      <c r="D35" s="3" t="n"/>
      <c r="E35" s="3" t="inlineStr">
        <is>
          <t>curated</t>
        </is>
      </c>
      <c r="F35" s="3" t="inlineStr">
        <is>
          <t>PLANET_PROFILE[Mars: Relationships, Personality Traits, Profession / Status, Body Parts Ruled, General Health Indicator] + BHAVA_INFO[10: sig, body, rel]</t>
        </is>
      </c>
    </row>
    <row r="36" ht="129" customHeight="1">
      <c r="A36" s="3" t="inlineStr">
        <is>
          <t>Mars</t>
        </is>
      </c>
      <c r="B36" s="3" t="n">
        <v>11</v>
      </c>
      <c r="C36" s="3" t="inlineStr">
        <is>
          <t>Mars in the 11th gives gains through energy, property, machinery and competitive effort; ambitions are fulfilled by steady action.
The network is energetic and competitive; elder siblings and friends can be supportive, though quarrels in the group need watching.
Income grows with time; success comes in large undertakings.
Legs and left ear are the body areas to protect from strain.</t>
        </is>
      </c>
      <c r="D36" s="3" t="n"/>
      <c r="E36" s="3" t="inlineStr">
        <is>
          <t>curated</t>
        </is>
      </c>
      <c r="F36" s="3" t="inlineStr">
        <is>
          <t>PLANET_PROFILE[Mars: Relationships, Personality Traits, Profession / Status, Body Parts Ruled, General Health Indicator] + BHAVA_INFO[11: sig, body, rel]</t>
        </is>
      </c>
    </row>
    <row r="37" ht="129" customHeight="1">
      <c r="A37" s="3" t="inlineStr">
        <is>
          <t>Mars</t>
        </is>
      </c>
      <c r="B37" s="3" t="n">
        <v>12</v>
      </c>
      <c r="C37" s="3" t="inlineStr">
        <is>
          <t>Mars in the 12th directs energy outwards into expenses, travel abroad, hospitals or hidden battles; anger is best released through discipline and exercise.
Secret enemies, losses through disputes or confiscations are the cautionary side.
Sleep and bed comforts can be disturbed; the feet and left eye need care.
Kuja dosha is checked here for marriage; seclusion, retreat or service abroad can use the energy well.</t>
        </is>
      </c>
      <c r="D37" s="3" t="n"/>
      <c r="E37" s="3" t="inlineStr">
        <is>
          <t>curated</t>
        </is>
      </c>
      <c r="F37" s="3" t="inlineStr">
        <is>
          <t>PLANET_PROFILE[Mars: Relationships, Personality Traits, Profession / Status, Body Parts Ruled, General Health Indicator] + BHAVA_INFO[12: sig, body, rel]</t>
        </is>
      </c>
    </row>
    <row r="38" ht="157.7" customHeight="1">
      <c r="A38" s="3" t="inlineStr">
        <is>
          <t>Mercury</t>
        </is>
      </c>
      <c r="B38" s="3" t="n">
        <v>1</v>
      </c>
      <c r="C38" s="3" t="inlineStr">
        <is>
          <t>Mercury in the 1st gives a bright, youthful, communicative personality: intelligent, adaptable, friendly and quick to learn.
Speech and wit shape first impressions; the person can be diplomatic, but also calculating or restless when under stress.
Mercury takes the colour of the planets it joins, so its results here depend on its company and strength.
Skin, nerves and the nervous system are the health areas to look after; anxiety shows up in the body.</t>
        </is>
      </c>
      <c r="D38" s="3" t="n"/>
      <c r="E38" s="3" t="inlineStr">
        <is>
          <t>curated</t>
        </is>
      </c>
      <c r="F38" s="3" t="inlineStr">
        <is>
          <t>PLANET_PROFILE[Mercury: Relationships, Personality Traits, Profession / Status, Body Parts Ruled, General Health Indicator] + BHAVA_INFO[1: sig, body, rel]</t>
        </is>
      </c>
    </row>
    <row r="39" ht="157.7" customHeight="1">
      <c r="A39" s="3" t="inlineStr">
        <is>
          <t>Mercury</t>
        </is>
      </c>
      <c r="B39" s="3" t="n">
        <v>2</v>
      </c>
      <c r="C39" s="3" t="inlineStr">
        <is>
          <t>Mercury in the 2nd gives pleasant, intelligent speech and a talent for persuasion, teaching, writing and business.
Wealth comes through knowledge, trade, accounts or communication; the family is learned and values education.
Early schooling goes well; the tongue, throat and teeth need care, and speech can turn cunning if the company is poor.
This is also a Maraka house, so nervous stress over money and family is the point to watch.</t>
        </is>
      </c>
      <c r="D39" s="3" t="n"/>
      <c r="E39" s="3" t="inlineStr">
        <is>
          <t>curated</t>
        </is>
      </c>
      <c r="F39" s="3" t="inlineStr">
        <is>
          <t>PLANET_PROFILE[Mercury: Relationships, Personality Traits, Profession / Status, Body Parts Ruled, General Health Indicator] + BHAVA_INFO[2: sig, body, rel]</t>
        </is>
      </c>
    </row>
    <row r="40" ht="143.35" customHeight="1">
      <c r="A40" s="3" t="inlineStr">
        <is>
          <t>Mercury</t>
        </is>
      </c>
      <c r="B40" s="3" t="n">
        <v>3</v>
      </c>
      <c r="C40" s="3" t="inlineStr">
        <is>
          <t>Mercury in the 3rd suits writing, publishing, media, marketing, short journeys and all forms of communication.
The drive to do business is strong and the person is skilful with hands and gadgets; courage is mental rather than physical.
Younger siblings and neighbours are friendly and talkative; hobbies and learning continue throughout life.
Overwork can strain the hands, shoulders and nerves.</t>
        </is>
      </c>
      <c r="D40" s="3" t="n"/>
      <c r="E40" s="3" t="inlineStr">
        <is>
          <t>curated</t>
        </is>
      </c>
      <c r="F40" s="3" t="inlineStr">
        <is>
          <t>PLANET_PROFILE[Mercury: Relationships, Personality Traits, Profession / Status, Body Parts Ruled, General Health Indicator] + BHAVA_INFO[3: sig, body, rel]</t>
        </is>
      </c>
    </row>
    <row r="41" ht="143.35" customHeight="1">
      <c r="A41" s="3" t="inlineStr">
        <is>
          <t>Mercury</t>
        </is>
      </c>
      <c r="B41" s="3" t="n">
        <v>4</v>
      </c>
      <c r="C41" s="3" t="inlineStr">
        <is>
          <t>Mercury in the 4th favours schooling, education up to graduation and a home filled with books, conversation and learning.
Peace of mind comes through study and routine; the mother, or home life, may be intellectual and talkative.
Property or vehicles may come through dealings, trade or brokerage; restlessness can bring frequent changes at home.
Anxiety can settle in the chest and lungs.</t>
        </is>
      </c>
      <c r="D41" s="3" t="n"/>
      <c r="E41" s="3" t="inlineStr">
        <is>
          <t>curated</t>
        </is>
      </c>
      <c r="F41" s="3" t="inlineStr">
        <is>
          <t>PLANET_PROFILE[Mercury: Relationships, Personality Traits, Profession / Status, Body Parts Ruled, General Health Indicator] + BHAVA_INFO[4: sig, body, rel]</t>
        </is>
      </c>
    </row>
    <row r="42" ht="143.35" customHeight="1">
      <c r="A42" s="3" t="inlineStr">
        <is>
          <t>Mercury</t>
        </is>
      </c>
      <c r="B42" s="3" t="n">
        <v>5</v>
      </c>
      <c r="C42" s="3" t="inlineStr">
        <is>
          <t>Mercury in the 5th gives intelligence, wit and talent for higher studies, teaching, writing, mathematics and strategy.
Romance is playful and friendly; children are bright and talkative, and the person enjoys guiding them.
Speculation is attractive but calculated risks beat impulsive ones; mantra and upasana grow through study.
Digestion and the stomach are sensitive to nervous tension.</t>
        </is>
      </c>
      <c r="D42" s="3" t="n"/>
      <c r="E42" s="3" t="inlineStr">
        <is>
          <t>curated</t>
        </is>
      </c>
      <c r="F42" s="3" t="inlineStr">
        <is>
          <t>PLANET_PROFILE[Mercury: Relationships, Personality Traits, Profession / Status, Body Parts Ruled, General Health Indicator] + BHAVA_INFO[5: sig, body, rel]</t>
        </is>
      </c>
    </row>
    <row r="43" ht="129" customHeight="1">
      <c r="A43" s="3" t="inlineStr">
        <is>
          <t>Mercury</t>
        </is>
      </c>
      <c r="B43" s="3" t="n">
        <v>6</v>
      </c>
      <c r="C43" s="3" t="inlineStr">
        <is>
          <t>Mercury in the 6th gives skill at analysing problems, debts and disputes; it favours accounting, medicine, law and daily service work.
Enemies are handled through diplomacy; the competitive spirit is intellectual.
Skin, nerves, intestinal and sore-throat troubles are the cautionary side; worry and over-analysis can wear the person down.
The 6th improves with time, so skill grows steadily with experience.</t>
        </is>
      </c>
      <c r="D43" s="3" t="n"/>
      <c r="E43" s="3" t="inlineStr">
        <is>
          <t>curated</t>
        </is>
      </c>
      <c r="F43" s="3" t="inlineStr">
        <is>
          <t>PLANET_PROFILE[Mercury: Relationships, Personality Traits, Profession / Status, Body Parts Ruled, General Health Indicator] + BHAVA_INFO[6: sig, body, rel]</t>
        </is>
      </c>
    </row>
    <row r="44" ht="143.35" customHeight="1">
      <c r="A44" s="3" t="inlineStr">
        <is>
          <t>Mercury</t>
        </is>
      </c>
      <c r="B44" s="3" t="n">
        <v>7</v>
      </c>
      <c r="C44" s="3" t="inlineStr">
        <is>
          <t>Mercury in the 7th brings a youthful, intelligent, communicative spouse, and a marriage built on conversation and friendship.
Business partnerships, trading and brokerage are favoured; dealings with the public and market are smooth.
A critical or calculating attitude can strain relationships; honest talk keeps partnerships healthy. This is also a Maraka house.
Foreign travel and trade can bring benefits.</t>
        </is>
      </c>
      <c r="D44" s="3" t="n"/>
      <c r="E44" s="3" t="inlineStr">
        <is>
          <t>curated</t>
        </is>
      </c>
      <c r="F44" s="3" t="inlineStr">
        <is>
          <t>PLANET_PROFILE[Mercury: Relationships, Personality Traits, Profession / Status, Body Parts Ruled, General Health Indicator] + BHAVA_INFO[7: sig, body, rel]</t>
        </is>
      </c>
    </row>
    <row r="45" ht="143.35" customHeight="1">
      <c r="A45" s="3" t="inlineStr">
        <is>
          <t>Mercury</t>
        </is>
      </c>
      <c r="B45" s="3" t="n">
        <v>8</v>
      </c>
      <c r="C45" s="3" t="inlineStr">
        <is>
          <t>Mercury in the 8th gives a probing mind with interest in research, investigation, astrology, the occult and hidden knowledge.
Money may come through inheritance, insurance or the spouse's family; speech can be secretive or sharp.
Nervous strain, skin or throat problems and sudden anxieties deserve care; chronic issues are best handled with regular routines.
Studies in depth-oriented subjects are rewarding.</t>
        </is>
      </c>
      <c r="D45" s="3" t="n"/>
      <c r="E45" s="3" t="inlineStr">
        <is>
          <t>curated</t>
        </is>
      </c>
      <c r="F45" s="3" t="inlineStr">
        <is>
          <t>PLANET_PROFILE[Mercury: Relationships, Personality Traits, Profession / Status, Body Parts Ruled, General Health Indicator] + BHAVA_INFO[8: sig, body, rel]</t>
        </is>
      </c>
    </row>
    <row r="46" ht="143.35" customHeight="1">
      <c r="A46" s="3" t="inlineStr">
        <is>
          <t>Mercury</t>
        </is>
      </c>
      <c r="B46" s="3" t="n">
        <v>9</v>
      </c>
      <c r="C46" s="3" t="inlineStr">
        <is>
          <t>Mercury in the 9th gives a curious, philosophical mind: higher studies, teaching, writing on dharma and learning from gurus are favoured.
Fortune comes through knowledge, publishing, travel and communication; relations with the father's line are intellectual.
Pilgrimage and long-distance travel broaden the mind; belief may be questioned before it is accepted.
Thighs and nerves need care when the mind is overactive.</t>
        </is>
      </c>
      <c r="D46" s="3" t="n"/>
      <c r="E46" s="3" t="inlineStr">
        <is>
          <t>curated</t>
        </is>
      </c>
      <c r="F46" s="3" t="inlineStr">
        <is>
          <t>PLANET_PROFILE[Mercury: Relationships, Personality Traits, Profession / Status, Body Parts Ruled, General Health Indicator] + BHAVA_INFO[9: sig, body, rel]</t>
        </is>
      </c>
    </row>
    <row r="47" ht="143.35" customHeight="1">
      <c r="A47" s="3" t="inlineStr">
        <is>
          <t>Mercury</t>
        </is>
      </c>
      <c r="B47" s="3" t="n">
        <v>10</v>
      </c>
      <c r="C47" s="3" t="inlineStr">
        <is>
          <t>Mercury in the 10th gives careers in teaching, writing, publishing, accounting, trading, brokerage, journalism or public speaking.
Status comes through intelligence, communication and adaptability; the reputation is that of a smart, versatile professional.
Changing jobs or running more than one line of work is common; diplomacy helps with authority.
Knees and nerves may suffer when work stress builds.</t>
        </is>
      </c>
      <c r="D47" s="3" t="n"/>
      <c r="E47" s="3" t="inlineStr">
        <is>
          <t>curated</t>
        </is>
      </c>
      <c r="F47" s="3" t="inlineStr">
        <is>
          <t>PLANET_PROFILE[Mercury: Relationships, Personality Traits, Profession / Status, Body Parts Ruled, General Health Indicator] + BHAVA_INFO[10: sig, body, rel]</t>
        </is>
      </c>
    </row>
    <row r="48" ht="143.35" customHeight="1">
      <c r="A48" s="3" t="inlineStr">
        <is>
          <t>Mercury</t>
        </is>
      </c>
      <c r="B48" s="3" t="n">
        <v>11</v>
      </c>
      <c r="C48" s="3" t="inlineStr">
        <is>
          <t>Mercury in the 11th favours profits through business, trade, communication and networks; friends are intelligent and helpful.
Income is regular and often comes from several sources; large organisations and online or media networks suit the person.
Desires are fulfilled through learning and clever dealings; elder siblings and well-wishers are supportive.
Too many commitments can scatter the energy.</t>
        </is>
      </c>
      <c r="D48" s="3" t="n"/>
      <c r="E48" s="3" t="inlineStr">
        <is>
          <t>curated</t>
        </is>
      </c>
      <c r="F48" s="3" t="inlineStr">
        <is>
          <t>PLANET_PROFILE[Mercury: Relationships, Personality Traits, Profession / Status, Body Parts Ruled, General Health Indicator] + BHAVA_INFO[11: sig, body, rel]</t>
        </is>
      </c>
    </row>
    <row r="49" ht="143.35" customHeight="1">
      <c r="A49" s="3" t="inlineStr">
        <is>
          <t>Mercury</t>
        </is>
      </c>
      <c r="B49" s="3" t="n">
        <v>12</v>
      </c>
      <c r="C49" s="3" t="inlineStr">
        <is>
          <t>Mercury in the 12th gives a thoughtful, imaginative mind that works best in solitude: writing, research, foreign work or study abroad.
Expenses go towards education, communication and travel; sleep can be light because the mind stays active.
Hospitals, ashrams and seclusion suit the mind; secret anxieties and nervous exhaustion are the cautionary side.
Feet and the left eye need care.</t>
        </is>
      </c>
      <c r="D49" s="3" t="n"/>
      <c r="E49" s="3" t="inlineStr">
        <is>
          <t>curated</t>
        </is>
      </c>
      <c r="F49" s="3" t="inlineStr">
        <is>
          <t>PLANET_PROFILE[Mercury: Relationships, Personality Traits, Profession / Status, Body Parts Ruled, General Health Indicator] + BHAVA_INFO[12: sig, body, rel]</t>
        </is>
      </c>
    </row>
    <row r="50" ht="143.35" customHeight="1">
      <c r="A50" s="3" t="inlineStr">
        <is>
          <t>Jupiter</t>
        </is>
      </c>
      <c r="B50" s="3" t="n">
        <v>1</v>
      </c>
      <c r="C50" s="3" t="inlineStr">
        <is>
          <t>Jupiter in the 1st gives a wise, benevolent, optimistic personality with a dignified presence and natural respect from others.
The body tends to grow broad with age; health is protected, though liver, fat and digestion call for moderation.
The life path is guided by values, teachers and good counsel; generosity and spiritual interest are marked.
Excess and over-confidence are the cautionary side.</t>
        </is>
      </c>
      <c r="D50" s="3" t="n"/>
      <c r="E50" s="3" t="inlineStr">
        <is>
          <t>curated</t>
        </is>
      </c>
      <c r="F50" s="3" t="inlineStr">
        <is>
          <t>PLANET_PROFILE[Jupiter: Relationships, Personality Traits, Profession / Status, Body Parts Ruled, General Health Indicator] + BHAVA_INFO[1: sig, body, rel]</t>
        </is>
      </c>
    </row>
    <row r="51" ht="143.35" customHeight="1">
      <c r="A51" s="3" t="inlineStr">
        <is>
          <t>Jupiter</t>
        </is>
      </c>
      <c r="B51" s="3" t="n">
        <v>2</v>
      </c>
      <c r="C51" s="3" t="inlineStr">
        <is>
          <t>Jupiter is the natural karaka of the 2nd: wealth, family and speech are blessed, and savings accumulate steadily.
Speech is wise, kind and respected; the family is cultured and values education and dharma.
Banking, finance, teaching and counselling are natural income sources; food habits favour sweets and rich food.
This is also a Maraka house; moderation protects health and finances.</t>
        </is>
      </c>
      <c r="D51" s="3" t="n"/>
      <c r="E51" s="3" t="inlineStr">
        <is>
          <t>curated</t>
        </is>
      </c>
      <c r="F51" s="3" t="inlineStr">
        <is>
          <t>PLANET_PROFILE[Jupiter: Relationships, Personality Traits, Profession / Status, Body Parts Ruled, General Health Indicator] + BHAVA_INFO[2: sig, body, rel]</t>
        </is>
      </c>
    </row>
    <row r="52" ht="129" customHeight="1">
      <c r="A52" s="3" t="inlineStr">
        <is>
          <t>Jupiter</t>
        </is>
      </c>
      <c r="B52" s="3" t="n">
        <v>3</v>
      </c>
      <c r="C52" s="3" t="inlineStr">
        <is>
          <t>Jupiter in the 3rd gives a wise, optimistic style of communication and a talent for teaching, writing and counselling.
Courage is of the moral kind rather than the physical; siblings are well-wishing and the bond with younger siblings is good.
Efforts are rewarded steadily, but laziness or over-confidence can reduce the drive.
Short journeys and hobbies are enriching.</t>
        </is>
      </c>
      <c r="D52" s="3" t="n"/>
      <c r="E52" s="3" t="inlineStr">
        <is>
          <t>curated</t>
        </is>
      </c>
      <c r="F52" s="3" t="inlineStr">
        <is>
          <t>PLANET_PROFILE[Jupiter: Relationships, Personality Traits, Profession / Status, Body Parts Ruled, General Health Indicator] + BHAVA_INFO[3: sig, body, rel]</t>
        </is>
      </c>
    </row>
    <row r="53" ht="129" customHeight="1">
      <c r="A53" s="3" t="inlineStr">
        <is>
          <t>Jupiter</t>
        </is>
      </c>
      <c r="B53" s="3" t="n">
        <v>4</v>
      </c>
      <c r="C53" s="3" t="inlineStr">
        <is>
          <t>Jupiter in the 4th brings contentment at home, a respected mother and a good education; domestic happiness is a strength.
Landed and ancestral property, vehicles and a comfortable home are indicated; the heart and peace of mind are protected.
A teacher or guru can be a part of the home life.
Complacency and weight gain are the cautionary side.</t>
        </is>
      </c>
      <c r="D53" s="3" t="n"/>
      <c r="E53" s="3" t="inlineStr">
        <is>
          <t>curated</t>
        </is>
      </c>
      <c r="F53" s="3" t="inlineStr">
        <is>
          <t>PLANET_PROFILE[Jupiter: Relationships, Personality Traits, Profession / Status, Body Parts Ruled, General Health Indicator] + BHAVA_INFO[4: sig, body, rel]</t>
        </is>
      </c>
    </row>
    <row r="54" ht="129" customHeight="1">
      <c r="A54" s="3" t="inlineStr">
        <is>
          <t>Jupiter</t>
        </is>
      </c>
      <c r="B54" s="3" t="n">
        <v>5</v>
      </c>
      <c r="C54" s="3" t="inlineStr">
        <is>
          <t>Jupiter is the natural karaka of the 5th: children, creativity, intelligence, higher education and mantra upasana are blessed.
The person is respected as an adviser; love and romance are sincere and generous.
Speculation and entertainment bring gains in moderation; past-life merit supports wisdom and good fortune.
Liver, gall bladder and stomach need care in excess.</t>
        </is>
      </c>
      <c r="D54" s="3" t="n"/>
      <c r="E54" s="3" t="inlineStr">
        <is>
          <t>curated</t>
        </is>
      </c>
      <c r="F54" s="3" t="inlineStr">
        <is>
          <t>PLANET_PROFILE[Jupiter: Relationships, Personality Traits, Profession / Status, Body Parts Ruled, General Health Indicator] + BHAVA_INFO[5: sig, body, rel]</t>
        </is>
      </c>
    </row>
    <row r="55" ht="143.35" customHeight="1">
      <c r="A55" s="3" t="inlineStr">
        <is>
          <t>Jupiter</t>
        </is>
      </c>
      <c r="B55" s="3" t="n">
        <v>6</v>
      </c>
      <c r="C55" s="3" t="inlineStr">
        <is>
          <t>Jupiter in the 6th protects against enemies and obstacles, though it can weaken the 'fighting' spirit that the 6th usually asks for.
Service in medicine, law, counselling or finance suits the placement; debts are managed with wise advice.
Liver, pancreas, diabetes and weight issues are the cautionary side; litigation is best settled by counsel.
The 6th improves with time, so the results ripen steadily.</t>
        </is>
      </c>
      <c r="D55" s="3" t="n"/>
      <c r="E55" s="3" t="inlineStr">
        <is>
          <t>curated</t>
        </is>
      </c>
      <c r="F55" s="3" t="inlineStr">
        <is>
          <t>PLANET_PROFILE[Jupiter: Relationships, Personality Traits, Profession / Status, Body Parts Ruled, General Health Indicator] + BHAVA_INFO[6: sig, body, rel]</t>
        </is>
      </c>
    </row>
    <row r="56" ht="143.35" customHeight="1">
      <c r="A56" s="3" t="inlineStr">
        <is>
          <t>Jupiter</t>
        </is>
      </c>
      <c r="B56" s="3" t="n">
        <v>7</v>
      </c>
      <c r="C56" s="3" t="inlineStr">
        <is>
          <t>Jupiter in the 7th gives a wise, generous, respected spouse and a marriage built on shared values.
Business partnerships, clients and dealings with the public are favourable; advice and counselling bring success.
Over-expectation in partnerships is the lesson; moderation protects the relationship. This is also a Maraka house.
Foreign travel and trade can bring good opportunities.</t>
        </is>
      </c>
      <c r="D56" s="3" t="n"/>
      <c r="E56" s="3" t="inlineStr">
        <is>
          <t>curated</t>
        </is>
      </c>
      <c r="F56" s="3" t="inlineStr">
        <is>
          <t>PLANET_PROFILE[Jupiter: Relationships, Personality Traits, Profession / Status, Body Parts Ruled, General Health Indicator] + BHAVA_INFO[7: sig, body, rel]</t>
        </is>
      </c>
    </row>
    <row r="57" ht="143.35" customHeight="1">
      <c r="A57" s="3" t="inlineStr">
        <is>
          <t>Jupiter</t>
        </is>
      </c>
      <c r="B57" s="3" t="n">
        <v>8</v>
      </c>
      <c r="C57" s="3" t="inlineStr">
        <is>
          <t>Jupiter in the 8th protects longevity and supports study of the occult, philosophy, astrology and hidden wisdom.
Inheritance, insurance or the spouse's family may bring support; sudden events are cushioned by good counsel.
Chronic liver, digestive or weight issues deserve regular care; transformation is gentle rather than abrupt.
Research and depth-oriented teaching are rewarding.</t>
        </is>
      </c>
      <c r="D57" s="3" t="n"/>
      <c r="E57" s="3" t="inlineStr">
        <is>
          <t>curated</t>
        </is>
      </c>
      <c r="F57" s="3" t="inlineStr">
        <is>
          <t>PLANET_PROFILE[Jupiter: Relationships, Personality Traits, Profession / Status, Body Parts Ruled, General Health Indicator] + BHAVA_INFO[8: sig, body, rel]</t>
        </is>
      </c>
    </row>
    <row r="58" ht="129" customHeight="1">
      <c r="A58" s="3" t="inlineStr">
        <is>
          <t>Jupiter</t>
        </is>
      </c>
      <c r="B58" s="3" t="n">
        <v>9</v>
      </c>
      <c r="C58" s="3" t="inlineStr">
        <is>
          <t>Jupiter is the natural karaka of the 9th: fortune, dharma, gurus, the father and pilgrimage are blessed.
Higher studies and teaching come easily; the person is generous, ethical and respected as an adviser.
Long-distance travel and temples bring growth; belief and grace work together.
Dogmatism and complacency are the cautionary side.</t>
        </is>
      </c>
      <c r="D58" s="3" t="n"/>
      <c r="E58" s="3" t="inlineStr">
        <is>
          <t>curated</t>
        </is>
      </c>
      <c r="F58" s="3" t="inlineStr">
        <is>
          <t>PLANET_PROFILE[Jupiter: Relationships, Personality Traits, Profession / Status, Body Parts Ruled, General Health Indicator] + BHAVA_INFO[9: sig, body, rel]</t>
        </is>
      </c>
    </row>
    <row r="59" ht="129" customHeight="1">
      <c r="A59" s="3" t="inlineStr">
        <is>
          <t>Jupiter</t>
        </is>
      </c>
      <c r="B59" s="3" t="n">
        <v>10</v>
      </c>
      <c r="C59" s="3" t="inlineStr">
        <is>
          <t>Jupiter in the 10th gives status through wisdom: judge, adviser, banker, minister, priest, teacher or counsellor roles suit the person.
Reputation is that of an honest, benevolent authority; recognition grows steadily.
Ethics shape career decisions; ambition is balanced by principle.
Knees (ruled by the 10th) and weight gain from a sedentary, desk-bound career need care.</t>
        </is>
      </c>
      <c r="D59" s="3" t="n"/>
      <c r="E59" s="3" t="inlineStr">
        <is>
          <t>curated</t>
        </is>
      </c>
      <c r="F59" s="3" t="inlineStr">
        <is>
          <t>PLANET_PROFILE[Jupiter: Relationships, Personality Traits, Profession / Status, Body Parts Ruled, General Health Indicator] + BHAVA_INFO[10: sig, body, rel]</t>
        </is>
      </c>
    </row>
    <row r="60" ht="114.7" customHeight="1">
      <c r="A60" s="3" t="inlineStr">
        <is>
          <t>Jupiter</t>
        </is>
      </c>
      <c r="B60" s="3" t="n">
        <v>11</v>
      </c>
      <c r="C60" s="3" t="inlineStr">
        <is>
          <t>Jupiter in the 11th gives abundant gains, supportive friends and fulfilment of desires; the network is wide, wise and generous.
Income often comes from teaching, finance, advisory or large organisations.
Elder siblings and well-wishers support success; savings grow into lasting wealth.
Over-optimism in speculation is the cautionary side.</t>
        </is>
      </c>
      <c r="D60" s="3" t="n"/>
      <c r="E60" s="3" t="inlineStr">
        <is>
          <t>curated</t>
        </is>
      </c>
      <c r="F60" s="3" t="inlineStr">
        <is>
          <t>PLANET_PROFILE[Jupiter: Relationships, Personality Traits, Profession / Status, Body Parts Ruled, General Health Indicator] + BHAVA_INFO[11: sig, body, rel]</t>
        </is>
      </c>
    </row>
    <row r="61" ht="129" customHeight="1">
      <c r="A61" s="3" t="inlineStr">
        <is>
          <t>Jupiter</t>
        </is>
      </c>
      <c r="B61" s="3" t="n">
        <v>12</v>
      </c>
      <c r="C61" s="3" t="inlineStr">
        <is>
          <t>Jupiter in the 12th favours spirituality, charity, meditation, retreats and moksha; expenses go to good causes.
Foreign residence, hospitals, ashrams and teaching abroad suit the placement.
Sleep and bed comforts are good; indulgence and over-spending are the cautionary side.
The feet and the left eye need care.</t>
        </is>
      </c>
      <c r="D61" s="3" t="n"/>
      <c r="E61" s="3" t="inlineStr">
        <is>
          <t>curated</t>
        </is>
      </c>
      <c r="F61" s="3" t="inlineStr">
        <is>
          <t>PLANET_PROFILE[Jupiter: Relationships, Personality Traits, Profession / Status, Body Parts Ruled, General Health Indicator] + BHAVA_INFO[12: sig, body, rel]</t>
        </is>
      </c>
    </row>
    <row r="62" ht="143.35" customHeight="1">
      <c r="A62" s="3" t="inlineStr">
        <is>
          <t>Venus</t>
        </is>
      </c>
      <c r="B62" s="3" t="n">
        <v>1</v>
      </c>
      <c r="C62" s="3" t="inlineStr">
        <is>
          <t>Venus in the 1st gives a pleasant, charming, refined personality with an artistic eye and a love of beauty and comfort.
The appearance is attractive and well groomed; relationships and social life come easily.
Luxury-loving habits can turn into indulgence; kidneys, hormones and sugar balance deserve moderation.
The person is romantic and values harmony.</t>
        </is>
      </c>
      <c r="D62" s="3" t="n"/>
      <c r="E62" s="3" t="inlineStr">
        <is>
          <t>curated</t>
        </is>
      </c>
      <c r="F62" s="3" t="inlineStr">
        <is>
          <t>PLANET_PROFILE[Venus: Relationships, Personality Traits, Profession / Status, Body Parts Ruled, General Health Indicator] + BHAVA_INFO[1: sig, body, rel]</t>
        </is>
      </c>
    </row>
    <row r="63" ht="129" customHeight="1">
      <c r="A63" s="3" t="inlineStr">
        <is>
          <t>Venus</t>
        </is>
      </c>
      <c r="B63" s="3" t="n">
        <v>2</v>
      </c>
      <c r="C63" s="3" t="inlineStr">
        <is>
          <t>Venus in the 2nd gives a sweet, melodious voice, a love of good food and a family that values art, culture and comfort.
Wealth comes through beauty, art, jewellery, silk, hospitality or luxury goods; savings grow when spending on pleasure is balanced.
The face, cheeks and eyes are attractive; sweet foods may affect sugar levels.
This is also a Maraka house; strain in family or money matters can affect the kidneys.</t>
        </is>
      </c>
      <c r="D63" s="3" t="n"/>
      <c r="E63" s="3" t="inlineStr">
        <is>
          <t>curated</t>
        </is>
      </c>
      <c r="F63" s="3" t="inlineStr">
        <is>
          <t>PLANET_PROFILE[Venus: Relationships, Personality Traits, Profession / Status, Body Parts Ruled, General Health Indicator] + BHAVA_INFO[2: sig, body, rel]</t>
        </is>
      </c>
    </row>
    <row r="64" ht="129" customHeight="1">
      <c r="A64" s="3" t="inlineStr">
        <is>
          <t>Venus</t>
        </is>
      </c>
      <c r="B64" s="3" t="n">
        <v>3</v>
      </c>
      <c r="C64" s="3" t="inlineStr">
        <is>
          <t>Venus in the 3rd gives artistic communication — music, writing, design, media — and a charming way with neighbours and siblings.
Courage is gentle and diplomatic; the drive in business shows through creative ventures.
Short journeys for pleasure are favoured; the bond with younger siblings is warm.
Comfort-seeking can reduce self-effort if not balanced.</t>
        </is>
      </c>
      <c r="D64" s="3" t="n"/>
      <c r="E64" s="3" t="inlineStr">
        <is>
          <t>curated</t>
        </is>
      </c>
      <c r="F64" s="3" t="inlineStr">
        <is>
          <t>PLANET_PROFILE[Venus: Relationships, Personality Traits, Profession / Status, Body Parts Ruled, General Health Indicator] + BHAVA_INFO[3: sig, body, rel]</t>
        </is>
      </c>
    </row>
    <row r="65" ht="143.35" customHeight="1">
      <c r="A65" s="3" t="inlineStr">
        <is>
          <t>Venus</t>
        </is>
      </c>
      <c r="B65" s="3" t="n">
        <v>4</v>
      </c>
      <c r="C65" s="3" t="inlineStr">
        <is>
          <t>Venus is a natural karaka of the 4th: a comfortable, beautiful home, good vehicles and domestic happiness are indicated.
The mother is refined and loving; education includes arts and culture; property and fixed assets are favoured.
Contentment at home gives peace of mind; the chest and heart respond to emotional health.
Over-attachment to comfort is the cautionary side.</t>
        </is>
      </c>
      <c r="D65" s="3" t="n"/>
      <c r="E65" s="3" t="inlineStr">
        <is>
          <t>curated</t>
        </is>
      </c>
      <c r="F65" s="3" t="inlineStr">
        <is>
          <t>PLANET_PROFILE[Venus: Relationships, Personality Traits, Profession / Status, Body Parts Ruled, General Health Indicator] + BHAVA_INFO[4: sig, body, rel]</t>
        </is>
      </c>
    </row>
    <row r="66" ht="129" customHeight="1">
      <c r="A66" s="3" t="inlineStr">
        <is>
          <t>Venus</t>
        </is>
      </c>
      <c r="B66" s="3" t="n">
        <v>5</v>
      </c>
      <c r="C66" s="3" t="inlineStr">
        <is>
          <t>Venus in the 5th gives romance, creativity, and talent in music, dance, cinema, drama and the arts; love is sincere and expressive.
Children are charming and artistic; the intellect is refined and appreciates beauty.
Speculation and entertainment can bring gains; excess pleasure-seeking is the cautionary side.
Mantra and upasana of a gentle deity bring peace.</t>
        </is>
      </c>
      <c r="D66" s="3" t="n"/>
      <c r="E66" s="3" t="inlineStr">
        <is>
          <t>curated</t>
        </is>
      </c>
      <c r="F66" s="3" t="inlineStr">
        <is>
          <t>PLANET_PROFILE[Venus: Relationships, Personality Traits, Profession / Status, Body Parts Ruled, General Health Indicator] + BHAVA_INFO[5: sig, body, rel]</t>
        </is>
      </c>
    </row>
    <row r="67" ht="143.35" customHeight="1">
      <c r="A67" s="3" t="inlineStr">
        <is>
          <t>Venus</t>
        </is>
      </c>
      <c r="B67" s="3" t="n">
        <v>6</v>
      </c>
      <c r="C67" s="3" t="inlineStr">
        <is>
          <t>Venus in the 6th can weaken comfort and relationships through disputes, debts and domination; the spouse may be demanding.
Service in beauty, hospitality, healing or arts suits the placement, and enemies are won over by charm.
Kidney, urinary, hormonal, sugar and venereal issues are the cautionary side; avoid excess in pleasures.
The 6th improves with time, so the results ripen gradually.</t>
        </is>
      </c>
      <c r="D67" s="3" t="n"/>
      <c r="E67" s="3" t="inlineStr">
        <is>
          <t>curated</t>
        </is>
      </c>
      <c r="F67" s="3" t="inlineStr">
        <is>
          <t>PLANET_PROFILE[Venus: Relationships, Personality Traits, Profession / Status, Body Parts Ruled, General Health Indicator] + BHAVA_INFO[6: sig, body, rel]</t>
        </is>
      </c>
    </row>
    <row r="68" ht="157.7" customHeight="1">
      <c r="A68" s="3" t="inlineStr">
        <is>
          <t>Venus</t>
        </is>
      </c>
      <c r="B68" s="3" t="n">
        <v>7</v>
      </c>
      <c r="C68" s="3" t="inlineStr">
        <is>
          <t>Venus is the karaka of the 7th: a charming, affectionate, artistic spouse and a harmonious marriage are indicated.
Business partnerships, clients, hospitality and dealings with the public flourish; foreign travel and trade are favoured.
Over-indulgence or too many attachments are the cautionary side. This is also a Maraka house, so kidneys and the reproductive system need care.
Social interactions, dealings with the masses and a pleasant public manner bring success in partnership-based work.</t>
        </is>
      </c>
      <c r="D68" s="3" t="n"/>
      <c r="E68" s="3" t="inlineStr">
        <is>
          <t>curated</t>
        </is>
      </c>
      <c r="F68" s="3" t="inlineStr">
        <is>
          <t>PLANET_PROFILE[Venus: Relationships, Personality Traits, Profession / Status, Body Parts Ruled, General Health Indicator] + BHAVA_INFO[7: sig, body, rel]</t>
        </is>
      </c>
    </row>
    <row r="69" ht="143.35" customHeight="1">
      <c r="A69" s="3" t="inlineStr">
        <is>
          <t>Venus</t>
        </is>
      </c>
      <c r="B69" s="3" t="n">
        <v>8</v>
      </c>
      <c r="C69" s="3" t="inlineStr">
        <is>
          <t>Venus in the 8th can give hidden wealth, inheritance or support from the spouse's family; there is a deep, intense approach to relationships.
Interest in occult, research and the secret side of art is common; sudden changes in love life are possible.
Reproductive, urinary and hormonal issues require regular care; moderation protects longevity.
Transformation of values is the lesson.</t>
        </is>
      </c>
      <c r="D69" s="3" t="n"/>
      <c r="E69" s="3" t="inlineStr">
        <is>
          <t>curated</t>
        </is>
      </c>
      <c r="F69" s="3" t="inlineStr">
        <is>
          <t>PLANET_PROFILE[Venus: Relationships, Personality Traits, Profession / Status, Body Parts Ruled, General Health Indicator] + BHAVA_INFO[8: sig, body, rel]</t>
        </is>
      </c>
    </row>
    <row r="70" ht="114.7" customHeight="1">
      <c r="A70" s="3" t="inlineStr">
        <is>
          <t>Venus</t>
        </is>
      </c>
      <c r="B70" s="3" t="n">
        <v>9</v>
      </c>
      <c r="C70" s="3" t="inlineStr">
        <is>
          <t>Venus in the 9th gives a refined sense of dharma, devotion through music and art, and fortune that comes through grace and relationships.
Pilgrimages, long-distance travel and higher studies in arts or culture are favoured.
Respect for gurus is warm; the father's line may be artistic.
Comfort-seeking while travelling is the cautionary side.</t>
        </is>
      </c>
      <c r="D70" s="3" t="n"/>
      <c r="E70" s="3" t="inlineStr">
        <is>
          <t>curated</t>
        </is>
      </c>
      <c r="F70" s="3" t="inlineStr">
        <is>
          <t>PLANET_PROFILE[Venus: Relationships, Personality Traits, Profession / Status, Body Parts Ruled, General Health Indicator] + BHAVA_INFO[9: sig, body, rel]</t>
        </is>
      </c>
    </row>
    <row r="71" ht="143.35" customHeight="1">
      <c r="A71" s="3" t="inlineStr">
        <is>
          <t>Venus</t>
        </is>
      </c>
      <c r="B71" s="3" t="n">
        <v>10</v>
      </c>
      <c r="C71" s="3" t="inlineStr">
        <is>
          <t>Venus in the 10th gives careers in beauty, fashion, arts, music, jewellery, hospitality and event management.
Status comes through charm, creativity and the ability to bring people together; the public image is attractive.
Work in luxury or entertainment suits the placement; relationships may mix with career.
Knees (ruled by the 10th) and the kidneys need care when work becomes stressful.</t>
        </is>
      </c>
      <c r="D71" s="3" t="n"/>
      <c r="E71" s="3" t="inlineStr">
        <is>
          <t>curated</t>
        </is>
      </c>
      <c r="F71" s="3" t="inlineStr">
        <is>
          <t>PLANET_PROFILE[Venus: Relationships, Personality Traits, Profession / Status, Body Parts Ruled, General Health Indicator] + BHAVA_INFO[10: sig, body, rel]</t>
        </is>
      </c>
    </row>
    <row r="72" ht="114.7" customHeight="1">
      <c r="A72" s="3" t="inlineStr">
        <is>
          <t>Venus</t>
        </is>
      </c>
      <c r="B72" s="3" t="n">
        <v>11</v>
      </c>
      <c r="C72" s="3" t="inlineStr">
        <is>
          <t>Venus in the 11th gives profits through art, beauty, luxury and relationships; friends are charming and the social circle is wide.
Desires for comfort and pleasure are fulfilled, often through women or partnerships.
Elder siblings and well-wishers support success; income is comfortable.
Overspending on luxury is the cautionary side.</t>
        </is>
      </c>
      <c r="D72" s="3" t="n"/>
      <c r="E72" s="3" t="inlineStr">
        <is>
          <t>curated</t>
        </is>
      </c>
      <c r="F72" s="3" t="inlineStr">
        <is>
          <t>PLANET_PROFILE[Venus: Relationships, Personality Traits, Profession / Status, Body Parts Ruled, General Health Indicator] + BHAVA_INFO[11: sig, body, rel]</t>
        </is>
      </c>
    </row>
    <row r="73" ht="129" customHeight="1">
      <c r="A73" s="3" t="inlineStr">
        <is>
          <t>Venus</t>
        </is>
      </c>
      <c r="B73" s="3" t="n">
        <v>12</v>
      </c>
      <c r="C73" s="3" t="inlineStr">
        <is>
          <t>Venus in the 12th gives pleasure in bed comforts, travel, foreign places and spending on luxury and art.
Sleep is good; romance may be private or secret; residence abroad is possible.
Hospitals, retreats and charitable work can be soothing; losses through indulgence are the cautionary side.
Feet, the left eye and kidneys need care.</t>
        </is>
      </c>
      <c r="D73" s="3" t="n"/>
      <c r="E73" s="3" t="inlineStr">
        <is>
          <t>curated</t>
        </is>
      </c>
      <c r="F73" s="3" t="inlineStr">
        <is>
          <t>PLANET_PROFILE[Venus: Relationships, Personality Traits, Profession / Status, Body Parts Ruled, General Health Indicator] + BHAVA_INFO[12: sig, body, rel]</t>
        </is>
      </c>
    </row>
    <row r="74" ht="143.35" customHeight="1">
      <c r="A74" s="3" t="inlineStr">
        <is>
          <t>Saturn</t>
        </is>
      </c>
      <c r="B74" s="3" t="n">
        <v>1</v>
      </c>
      <c r="C74" s="3" t="inlineStr">
        <is>
          <t>Saturn in the 1st gives a serious, disciplined, patient personality; a strong Saturn brings maturity and perseverance, a weak one lethargy and an inferiority complex.
The body is lean and the look serious; the self matures slowly and gains confidence with age.
Chronic ailments, joint stiffness and low vitality are the health signals; regular routine protects the body.
Hard work is the life lesson.</t>
        </is>
      </c>
      <c r="D74" s="3" t="n"/>
      <c r="E74" s="3" t="inlineStr">
        <is>
          <t>curated</t>
        </is>
      </c>
      <c r="F74" s="3" t="inlineStr">
        <is>
          <t>PLANET_PROFILE[Saturn: Relationships, Personality Traits, Profession / Status, Body Parts Ruled, General Health Indicator] + BHAVA_INFO[1: sig, body, rel]</t>
        </is>
      </c>
    </row>
    <row r="75" ht="143.35" customHeight="1">
      <c r="A75" s="3" t="inlineStr">
        <is>
          <t>Saturn</t>
        </is>
      </c>
      <c r="B75" s="3" t="n">
        <v>2</v>
      </c>
      <c r="C75" s="3" t="inlineStr">
        <is>
          <t>Saturn in the 2nd gives careful, measured speech and a cautious attitude to money; wealth builds slowly through discipline.
Family responsibilities are heavy and the family may be conservative or elderly; food habits are simple.
Teeth, face and throat need care; delays in savings are the cautionary side.
This is also a Maraka house, so stress over family and money is best handled with patience.</t>
        </is>
      </c>
      <c r="D75" s="3" t="n"/>
      <c r="E75" s="3" t="inlineStr">
        <is>
          <t>curated</t>
        </is>
      </c>
      <c r="F75" s="3" t="inlineStr">
        <is>
          <t>PLANET_PROFILE[Saturn: Relationships, Personality Traits, Profession / Status, Body Parts Ruled, General Health Indicator] + BHAVA_INFO[2: sig, body, rel]</t>
        </is>
      </c>
    </row>
    <row r="76" ht="129" customHeight="1">
      <c r="A76" s="3" t="inlineStr">
        <is>
          <t>Saturn</t>
        </is>
      </c>
      <c r="B76" s="3" t="n">
        <v>3</v>
      </c>
      <c r="C76" s="3" t="inlineStr">
        <is>
          <t>Saturn in the 3rd gives persistent effort and steady courage; success comes through hard work, not haste.
The bond with younger siblings can be distant or burdened with responsibility; communication is careful and slow.
Writing, technical work and service-oriented ventures suit the placement.
Shoulders, arms and ears need care.</t>
        </is>
      </c>
      <c r="D76" s="3" t="n"/>
      <c r="E76" s="3" t="inlineStr">
        <is>
          <t>curated</t>
        </is>
      </c>
      <c r="F76" s="3" t="inlineStr">
        <is>
          <t>PLANET_PROFILE[Saturn: Relationships, Personality Traits, Profession / Status, Body Parts Ruled, General Health Indicator] + BHAVA_INFO[3: sig, body, rel]</t>
        </is>
      </c>
    </row>
    <row r="77" ht="129" customHeight="1">
      <c r="A77" s="3" t="inlineStr">
        <is>
          <t>Saturn</t>
        </is>
      </c>
      <c r="B77" s="3" t="n">
        <v>4</v>
      </c>
      <c r="C77" s="3" t="inlineStr">
        <is>
          <t>Saturn in the 4th can give a distant home life, an elderly or burdened mother and delayed peace of mind.
Property, vehicles and fixed assets come late in life through effort; education is slow but thorough.
Emotional coldness at home or early separation from the mother is the cautionary side.
Chest and lungs need regular care.</t>
        </is>
      </c>
      <c r="D77" s="3" t="n"/>
      <c r="E77" s="3" t="inlineStr">
        <is>
          <t>curated</t>
        </is>
      </c>
      <c r="F77" s="3" t="inlineStr">
        <is>
          <t>PLANET_PROFILE[Saturn: Relationships, Personality Traits, Profession / Status, Body Parts Ruled, General Health Indicator] + BHAVA_INFO[4: sig, body, rel]</t>
        </is>
      </c>
    </row>
    <row r="78" ht="143.35" customHeight="1">
      <c r="A78" s="3" t="inlineStr">
        <is>
          <t>Saturn</t>
        </is>
      </c>
      <c r="B78" s="3" t="n">
        <v>5</v>
      </c>
      <c r="C78" s="3" t="inlineStr">
        <is>
          <t>Saturn in the 5th can delay or limit children, though it brings seriousness, depth and discipline to intellect and study.
Romance is slow and cautious; speculation is not favoured and creativity grows through discipline.
Mantra upasana through steady routine brings results; stomach and digestion are sensitive.
Patience with children and teachers is the lesson.</t>
        </is>
      </c>
      <c r="D78" s="3" t="n"/>
      <c r="E78" s="3" t="inlineStr">
        <is>
          <t>curated</t>
        </is>
      </c>
      <c r="F78" s="3" t="inlineStr">
        <is>
          <t>PLANET_PROFILE[Saturn: Relationships, Personality Traits, Profession / Status, Body Parts Ruled, General Health Indicator] + BHAVA_INFO[5: sig, body, rel]</t>
        </is>
      </c>
    </row>
    <row r="79" ht="143.35" customHeight="1">
      <c r="A79" s="3" t="inlineStr">
        <is>
          <t>Saturn</t>
        </is>
      </c>
      <c r="B79" s="3" t="n">
        <v>6</v>
      </c>
      <c r="C79" s="3" t="inlineStr">
        <is>
          <t>Saturn in the 6th is a strong placement: it helps overcome enemies, debts and obstacles through discipline and patient work.
Service, labour, healing and daily routine suit the person; colleagues and employees are well managed.
Chronic ailments, digestion and joint issues are the cautionary side; the results improve with time.
Disputes and litigation are settled gradually, usually in favour of the patient party.</t>
        </is>
      </c>
      <c r="D79" s="3" t="n"/>
      <c r="E79" s="3" t="inlineStr">
        <is>
          <t>curated</t>
        </is>
      </c>
      <c r="F79" s="3" t="inlineStr">
        <is>
          <t>PLANET_PROFILE[Saturn: Relationships, Personality Traits, Profession / Status, Body Parts Ruled, General Health Indicator] + BHAVA_INFO[6: sig, body, rel]</t>
        </is>
      </c>
    </row>
    <row r="80" ht="143.35" customHeight="1">
      <c r="A80" s="3" t="inlineStr">
        <is>
          <t>Saturn</t>
        </is>
      </c>
      <c r="B80" s="3" t="n">
        <v>7</v>
      </c>
      <c r="C80" s="3" t="inlineStr">
        <is>
          <t>Saturn in the 7th gives a mature, serious spouse, and marriage that tends to be delayed but is stable and committed.
Business partnerships need patience; dealings with the public and employees are fair and disciplined.
Coldness or distance in relationships is the cautionary side. This is also a Maraka house, so strain in close partnerships can affect health.
Foreign trade or service can bring slow, steady gains.</t>
        </is>
      </c>
      <c r="D80" s="3" t="n"/>
      <c r="E80" s="3" t="inlineStr">
        <is>
          <t>curated</t>
        </is>
      </c>
      <c r="F80" s="3" t="inlineStr">
        <is>
          <t>PLANET_PROFILE[Saturn: Relationships, Personality Traits, Profession / Status, Body Parts Ruled, General Health Indicator] + BHAVA_INFO[7: sig, body, rel]</t>
        </is>
      </c>
    </row>
    <row r="81" ht="143.35" customHeight="1">
      <c r="A81" s="3" t="inlineStr">
        <is>
          <t>Saturn</t>
        </is>
      </c>
      <c r="B81" s="3" t="n">
        <v>8</v>
      </c>
      <c r="C81" s="3" t="inlineStr">
        <is>
          <t>Saturn is the natural karaka of the 8th: longevity is protected, and there is an interest in research, the occult and long-term investigations.
Chronic illness, delays, obstacles and losses are the cautionary side; sudden events are met with endurance.
Insurance, inheritance or pensions may come after a wait; the spouse's family may carry burdens.
Surgery or accidents need care; regular routines protect health.</t>
        </is>
      </c>
      <c r="D81" s="3" t="n"/>
      <c r="E81" s="3" t="inlineStr">
        <is>
          <t>curated</t>
        </is>
      </c>
      <c r="F81" s="3" t="inlineStr">
        <is>
          <t>PLANET_PROFILE[Saturn: Relationships, Personality Traits, Profession / Status, Body Parts Ruled, General Health Indicator] + BHAVA_INFO[8: sig, body, rel]</t>
        </is>
      </c>
    </row>
    <row r="82" ht="129" customHeight="1">
      <c r="A82" s="3" t="inlineStr">
        <is>
          <t>Saturn</t>
        </is>
      </c>
      <c r="B82" s="3" t="n">
        <v>9</v>
      </c>
      <c r="C82" s="3" t="inlineStr">
        <is>
          <t>Saturn in the 9th gives a serious, disciplined approach to dharma; fortune comes late but is earned through hard work.
Relations with the father or gurus may be distant or demanding; higher studies are slow and thorough.
Pilgrimage and long-distance travel are undertaken with responsibility.
Rigid beliefs are the cautionary side; thighs and hips need care.</t>
        </is>
      </c>
      <c r="D82" s="3" t="n"/>
      <c r="E82" s="3" t="inlineStr">
        <is>
          <t>curated</t>
        </is>
      </c>
      <c r="F82" s="3" t="inlineStr">
        <is>
          <t>PLANET_PROFILE[Saturn: Relationships, Personality Traits, Profession / Status, Body Parts Ruled, General Health Indicator] + BHAVA_INFO[9: sig, body, rel]</t>
        </is>
      </c>
    </row>
    <row r="83" ht="143.35" customHeight="1">
      <c r="A83" s="3" t="inlineStr">
        <is>
          <t>Saturn</t>
        </is>
      </c>
      <c r="B83" s="3" t="n">
        <v>10</v>
      </c>
      <c r="C83" s="3" t="inlineStr">
        <is>
          <t>Saturn in the 10th is a strong placement: career is built steadily through discipline and responsibility, and status grows with time.
Administrative roles, service, labour-oriented professions, mining, iron, oil and management suit the placement.
Recognition comes late but lasts; overwork and a hard-driving manner are the cautionary side.
Knees and joints need regular care.</t>
        </is>
      </c>
      <c r="D83" s="3" t="n"/>
      <c r="E83" s="3" t="inlineStr">
        <is>
          <t>curated</t>
        </is>
      </c>
      <c r="F83" s="3" t="inlineStr">
        <is>
          <t>PLANET_PROFILE[Saturn: Relationships, Personality Traits, Profession / Status, Body Parts Ruled, General Health Indicator] + BHAVA_INFO[10: sig, body, rel]</t>
        </is>
      </c>
    </row>
    <row r="84" ht="114.7" customHeight="1">
      <c r="A84" s="3" t="inlineStr">
        <is>
          <t>Saturn</t>
        </is>
      </c>
      <c r="B84" s="3" t="n">
        <v>11</v>
      </c>
      <c r="C84" s="3" t="inlineStr">
        <is>
          <t>Saturn in the 11th gives steady, long-term gains; income grows slowly and desires are fulfilled through patient effort.
Friends are older, serious and reliable; elder siblings may carry responsibilities.
Large organisations, service sectors and the masses are favoured.
Delays in gains and a small circle are the cautionary side.</t>
        </is>
      </c>
      <c r="D84" s="3" t="n"/>
      <c r="E84" s="3" t="inlineStr">
        <is>
          <t>curated</t>
        </is>
      </c>
      <c r="F84" s="3" t="inlineStr">
        <is>
          <t>PLANET_PROFILE[Saturn: Relationships, Personality Traits, Profession / Status, Body Parts Ruled, General Health Indicator] + BHAVA_INFO[11: sig, body, rel]</t>
        </is>
      </c>
    </row>
    <row r="85" ht="129" customHeight="1">
      <c r="A85" s="3" t="inlineStr">
        <is>
          <t>Saturn</t>
        </is>
      </c>
      <c r="B85" s="3" t="n">
        <v>12</v>
      </c>
      <c r="C85" s="3" t="inlineStr">
        <is>
          <t>Saturn in the 12th gives a disciplined approach to expenses, solitude and spiritual practice; foreign residence or isolation is possible.
Sleep may be disturbed or limited; hospitals, jails, ashrams and charitable service are associated.
Detachment brings growth; losses, delays and secret worries are the cautionary side.
Feet, the left eye and joints need care.</t>
        </is>
      </c>
      <c r="D85" s="3" t="n"/>
      <c r="E85" s="3" t="inlineStr">
        <is>
          <t>curated</t>
        </is>
      </c>
      <c r="F85" s="3" t="inlineStr">
        <is>
          <t>PLANET_PROFILE[Saturn: Relationships, Personality Traits, Profession / Status, Body Parts Ruled, General Health Indicator] + BHAVA_INFO[12: sig, body, rel]</t>
        </is>
      </c>
    </row>
    <row r="86" ht="143.35" customHeight="1">
      <c r="A86" s="3" t="inlineStr">
        <is>
          <t>Rahu</t>
        </is>
      </c>
      <c r="B86" s="3" t="n">
        <v>1</v>
      </c>
      <c r="C86" s="3" t="inlineStr">
        <is>
          <t>Rahu in the 1st amplifies the self: an unconventional, magnetic and driven personality with an obsessive streak.
The person can look or behave differently from the family; identity may shift and illusion about the self is possible.
Health and vitality can fluctuate in unusual ways; the body takes on whatever the person is obsessed with.
Foreign matters often touch the life path.</t>
        </is>
      </c>
      <c r="D86" s="3" t="n"/>
      <c r="E86" s="3" t="inlineStr">
        <is>
          <t>curated</t>
        </is>
      </c>
      <c r="F86" s="3" t="inlineStr">
        <is>
          <t>KARAKATWAS[Rahu: qualities, signifies] + BHAVA_INFO[1: sig, body, rel]</t>
        </is>
      </c>
    </row>
    <row r="87" ht="129" customHeight="1">
      <c r="A87" s="3" t="inlineStr">
        <is>
          <t>Rahu</t>
        </is>
      </c>
      <c r="B87" s="3" t="n">
        <v>2</v>
      </c>
      <c r="C87" s="3" t="inlineStr">
        <is>
          <t>Rahu in the 2nd amplifies the wish for wealth, family status and fine speech; sudden gains are possible, and so are sudden losses.
Speech can be persuasive but exaggerated; food habits may be unusual or from other cultures.
Family and lineage may be unconventional; foreign sources of income are possible.
This is also a Maraka house; keep an eye on illusion in money matters.</t>
        </is>
      </c>
      <c r="D87" s="3" t="n"/>
      <c r="E87" s="3" t="inlineStr">
        <is>
          <t>curated</t>
        </is>
      </c>
      <c r="F87" s="3" t="inlineStr">
        <is>
          <t>KARAKATWAS[Rahu: qualities, signifies] + BHAVA_INFO[2: sig, body, rel]</t>
        </is>
      </c>
    </row>
    <row r="88" ht="129" customHeight="1">
      <c r="A88" s="3" t="inlineStr">
        <is>
          <t>Rahu</t>
        </is>
      </c>
      <c r="B88" s="3" t="n">
        <v>3</v>
      </c>
      <c r="C88" s="3" t="inlineStr">
        <is>
          <t>Rahu in the 3rd amplifies courage, ambition and the drive to communicate; bold ventures in media, technology and marketing are favoured.
Self-effort is intense and unconventional; short journeys and contacts abroad are frequent.
The bond with younger siblings can be unusual; obsession with hobbies is possible.
Over-confidence and exaggeration are the cautionary side.</t>
        </is>
      </c>
      <c r="D88" s="3" t="n"/>
      <c r="E88" s="3" t="inlineStr">
        <is>
          <t>curated</t>
        </is>
      </c>
      <c r="F88" s="3" t="inlineStr">
        <is>
          <t>KARAKATWAS[Rahu: qualities, signifies] + BHAVA_INFO[3: sig, body, rel]</t>
        </is>
      </c>
    </row>
    <row r="89" ht="143.35" customHeight="1">
      <c r="A89" s="3" t="inlineStr">
        <is>
          <t>Rahu</t>
        </is>
      </c>
      <c r="B89" s="3" t="n">
        <v>4</v>
      </c>
      <c r="C89" s="3" t="inlineStr">
        <is>
          <t>Rahu in the 4th amplifies the wish for home, property and vehicles; residence away from the birthplace or abroad is possible.
Peace of mind can be disturbed by restlessness and illusion; the mother or home life may be unconventional.
Unusual or foreign education and sudden changes in home are indicated.
Learning emotional contentment, rather than chasing the next home or vehicle, is the lesson.</t>
        </is>
      </c>
      <c r="D89" s="3" t="n"/>
      <c r="E89" s="3" t="inlineStr">
        <is>
          <t>curated</t>
        </is>
      </c>
      <c r="F89" s="3" t="inlineStr">
        <is>
          <t>KARAKATWAS[Rahu: qualities, signifies] + BHAVA_INFO[4: sig, body, rel]</t>
        </is>
      </c>
    </row>
    <row r="90" ht="143.35" customHeight="1">
      <c r="A90" s="3" t="inlineStr">
        <is>
          <t>Rahu</t>
        </is>
      </c>
      <c r="B90" s="3" t="n">
        <v>5</v>
      </c>
      <c r="C90" s="3" t="inlineStr">
        <is>
          <t>Rahu in the 5th gives an unconventional, inventive intellect, with obsession in love, creativity, speculation and entertainment.
Children or romance may come in unusual ways; delays or illusions about them are possible.
Sudden gains in speculation are possible, but so are losses; mantra upasana steadies the mind.
Higher education abroad or in modern fields is favoured.</t>
        </is>
      </c>
      <c r="D90" s="3" t="n"/>
      <c r="E90" s="3" t="inlineStr">
        <is>
          <t>curated</t>
        </is>
      </c>
      <c r="F90" s="3" t="inlineStr">
        <is>
          <t>KARAKATWAS[Rahu: qualities, signifies] + BHAVA_INFO[5: sig, body, rel]</t>
        </is>
      </c>
    </row>
    <row r="91" ht="129" customHeight="1">
      <c r="A91" s="3" t="inlineStr">
        <is>
          <t>Rahu</t>
        </is>
      </c>
      <c r="B91" s="3" t="n">
        <v>6</v>
      </c>
      <c r="C91" s="3" t="inlineStr">
        <is>
          <t>Rahu in the 6th is strong: it helps win over enemies, debts and competition through unconventional methods.
Service in foreign, technical or healing fields is favoured; the competitive spirit is intense.
Unusual or hard-to-diagnose ailments and hidden enemies are the cautionary side.
Rahu's drive in the 6th grows with experience, so results build gradually.</t>
        </is>
      </c>
      <c r="D91" s="3" t="n"/>
      <c r="E91" s="3" t="inlineStr">
        <is>
          <t>curated</t>
        </is>
      </c>
      <c r="F91" s="3" t="inlineStr">
        <is>
          <t>KARAKATWAS[Rahu: qualities, signifies] + BHAVA_INFO[6: sig, body, rel]</t>
        </is>
      </c>
    </row>
    <row r="92" ht="143.35" customHeight="1">
      <c r="A92" s="3" t="inlineStr">
        <is>
          <t>Rahu</t>
        </is>
      </c>
      <c r="B92" s="3" t="n">
        <v>7</v>
      </c>
      <c r="C92" s="3" t="inlineStr">
        <is>
          <t>Rahu in the 7th amplifies desire in partnerships: the spouse or partner may be unconventional, foreign, or from a different background.
Business partnerships and dealings with the public and foreign markets can bring sudden gains.
Illusion and obsession in relationships are the cautionary side. This is also a Maraka house, so strain in close ties deserves attention.
Clear boundaries and honest expectations keep partnerships healthy.</t>
        </is>
      </c>
      <c r="D92" s="3" t="n"/>
      <c r="E92" s="3" t="inlineStr">
        <is>
          <t>curated</t>
        </is>
      </c>
      <c r="F92" s="3" t="inlineStr">
        <is>
          <t>KARAKATWAS[Rahu: qualities, signifies] + BHAVA_INFO[7: sig, body, rel]</t>
        </is>
      </c>
    </row>
    <row r="93" ht="143.35" customHeight="1">
      <c r="A93" s="3" t="inlineStr">
        <is>
          <t>Rahu</t>
        </is>
      </c>
      <c r="B93" s="3" t="n">
        <v>8</v>
      </c>
      <c r="C93" s="3" t="inlineStr">
        <is>
          <t>Rahu in the 8th gives a strong pull towards the occult, research, mysteries and hidden knowledge; sudden gains through inheritance or insurance are possible.
Sudden, unexpected events and unusual circumstances are indicated; fear and illusion about death are the cautionary side.
Mysterious, hard-to-diagnose ailments and obsessive fears about the body need regular care.
Deep transformation, often through crisis, is the lesson of this placement.</t>
        </is>
      </c>
      <c r="D93" s="3" t="n"/>
      <c r="E93" s="3" t="inlineStr">
        <is>
          <t>curated</t>
        </is>
      </c>
      <c r="F93" s="3" t="inlineStr">
        <is>
          <t>KARAKATWAS[Rahu: qualities, signifies] + BHAVA_INFO[8: sig, body, rel]</t>
        </is>
      </c>
    </row>
    <row r="94" ht="114.7" customHeight="1">
      <c r="A94" s="3" t="inlineStr">
        <is>
          <t>Rahu</t>
        </is>
      </c>
      <c r="B94" s="3" t="n">
        <v>9</v>
      </c>
      <c r="C94" s="3" t="inlineStr">
        <is>
          <t>Rahu in the 9th gives an unconventional view of dharma, foreign teachers and unusual paths of belief.
Fortune can come through foreign matters; long-distance travel is likely.
Relations with the father or gurus may be unusual or distant.
Doubt and illusion about faith are the cautionary side.</t>
        </is>
      </c>
      <c r="D94" s="3" t="n"/>
      <c r="E94" s="3" t="inlineStr">
        <is>
          <t>curated</t>
        </is>
      </c>
      <c r="F94" s="3" t="inlineStr">
        <is>
          <t>KARAKATWAS[Rahu: qualities, signifies] + BHAVA_INFO[9: sig, body, rel]</t>
        </is>
      </c>
    </row>
    <row r="95" ht="114.7" customHeight="1">
      <c r="A95" s="3" t="inlineStr">
        <is>
          <t>Rahu</t>
        </is>
      </c>
      <c r="B95" s="3" t="n">
        <v>10</v>
      </c>
      <c r="C95" s="3" t="inlineStr">
        <is>
          <t>Rahu in the 10th amplifies ambition and the drive for status; careers in technology, foreign trade, politics or unconventional fields suit the person.
Sudden rises in career and public image are possible, but so are sudden setbacks.
Reputation may involve a foreign link or an unusual path.
Over-ambition and shortcuts to status are the cautionary side.</t>
        </is>
      </c>
      <c r="D95" s="3" t="n"/>
      <c r="E95" s="3" t="inlineStr">
        <is>
          <t>curated</t>
        </is>
      </c>
      <c r="F95" s="3" t="inlineStr">
        <is>
          <t>KARAKATWAS[Rahu: qualities, signifies] + BHAVA_INFO[10: sig, body, rel]</t>
        </is>
      </c>
    </row>
    <row r="96" ht="129" customHeight="1">
      <c r="A96" s="3" t="inlineStr">
        <is>
          <t>Rahu</t>
        </is>
      </c>
      <c r="B96" s="3" t="n">
        <v>11</v>
      </c>
      <c r="C96" s="3" t="inlineStr">
        <is>
          <t>Rahu in the 11th is strong: it gives sudden gains, a large unconventional network and fulfilment of ambitions.
Friends may be foreign or from different backgrounds; income comes in sudden or unusual ways.
Large organisations, technology and the masses are favoured.
Illusion about gains and overreach in desires are the cautionary side.</t>
        </is>
      </c>
      <c r="D96" s="3" t="n"/>
      <c r="E96" s="3" t="inlineStr">
        <is>
          <t>curated</t>
        </is>
      </c>
      <c r="F96" s="3" t="inlineStr">
        <is>
          <t>KARAKATWAS[Rahu: qualities, signifies] + BHAVA_INFO[11: sig, body, rel]</t>
        </is>
      </c>
    </row>
    <row r="97" ht="129" customHeight="1">
      <c r="A97" s="3" t="inlineStr">
        <is>
          <t>Rahu</t>
        </is>
      </c>
      <c r="B97" s="3" t="n">
        <v>12</v>
      </c>
      <c r="C97" s="3" t="inlineStr">
        <is>
          <t>Rahu in the 12th amplifies foreign matters: residence abroad, travel and expenses on foreign soil are common.
Sleep, dreams and illusion are intensified; hospitals, jails and secret enemies are associated.
Spiritual practice and a regular sleep routine ground the restless mind.
Hidden losses and unexpected expenses are the cautionary side.</t>
        </is>
      </c>
      <c r="D97" s="3" t="n"/>
      <c r="E97" s="3" t="inlineStr">
        <is>
          <t>curated</t>
        </is>
      </c>
      <c r="F97" s="3" t="inlineStr">
        <is>
          <t>KARAKATWAS[Rahu: qualities, signifies] + BHAVA_INFO[12: sig, body, rel]</t>
        </is>
      </c>
    </row>
    <row r="98" ht="143.35" customHeight="1">
      <c r="A98" s="3" t="inlineStr">
        <is>
          <t>Ketu</t>
        </is>
      </c>
      <c r="B98" s="3" t="n">
        <v>1</v>
      </c>
      <c r="C98" s="3" t="inlineStr">
        <is>
          <t>Ketu in the 1st gives a detached, introspective and spiritual personality, with an interest in mysticism.
The person can seem aloof or distant; sudden changes in identity or outlook are possible.
Past-life karma is strongly felt in the life path; the body may have unusual or hard-to-diagnose health issues.
Finding a clear purpose and staying grounded in the body is the lesson.</t>
        </is>
      </c>
      <c r="D98" s="3" t="n"/>
      <c r="E98" s="3" t="inlineStr">
        <is>
          <t>curated</t>
        </is>
      </c>
      <c r="F98" s="3" t="inlineStr">
        <is>
          <t>KARAKATWAS[Ketu: qualities, signifies] + BHAVA_INFO[1: sig, body, rel]</t>
        </is>
      </c>
    </row>
    <row r="99" ht="129" customHeight="1">
      <c r="A99" s="3" t="inlineStr">
        <is>
          <t>Ketu</t>
        </is>
      </c>
      <c r="B99" s="3" t="n">
        <v>2</v>
      </c>
      <c r="C99" s="3" t="inlineStr">
        <is>
          <t>Ketu in the 2nd gives detachment from wealth, family and fine speech; speech can be blunt, brief or silent.
Sudden severance from family ties or savings is possible; spiritual values replace material ones.
Food habits may be simple or ascetic.
This is also a Maraka house; detachment from family can cause loneliness.</t>
        </is>
      </c>
      <c r="D99" s="3" t="n"/>
      <c r="E99" s="3" t="inlineStr">
        <is>
          <t>curated</t>
        </is>
      </c>
      <c r="F99" s="3" t="inlineStr">
        <is>
          <t>KARAKATWAS[Ketu: qualities, signifies] + BHAVA_INFO[2: sig, body, rel]</t>
        </is>
      </c>
    </row>
    <row r="100" ht="129" customHeight="1">
      <c r="A100" s="3" t="inlineStr">
        <is>
          <t>Ketu</t>
        </is>
      </c>
      <c r="B100" s="3" t="n">
        <v>3</v>
      </c>
      <c r="C100" s="3" t="inlineStr">
        <is>
          <t>Ketu in the 3rd gives a detached courage and a mystical, intuitive way of communicating.
Younger siblings may be distant, and self-effort comes in sudden bursts; research and spiritual writing suit the person.
Short journeys may be to spiritual places.
Lack of drive and disinterest in ordinary business are the cautionary side.</t>
        </is>
      </c>
      <c r="D100" s="3" t="n"/>
      <c r="E100" s="3" t="inlineStr">
        <is>
          <t>curated</t>
        </is>
      </c>
      <c r="F100" s="3" t="inlineStr">
        <is>
          <t>KARAKATWAS[Ketu: qualities, signifies] + BHAVA_INFO[3: sig, body, rel]</t>
        </is>
      </c>
    </row>
    <row r="101" ht="143.35" customHeight="1">
      <c r="A101" s="3" t="inlineStr">
        <is>
          <t>Ketu</t>
        </is>
      </c>
      <c r="B101" s="3" t="n">
        <v>4</v>
      </c>
      <c r="C101" s="3" t="inlineStr">
        <is>
          <t>Ketu in the 4th gives detachment from the home, mother and property; peace of mind comes through spiritual practice.
Sudden separation from home, the motherland or education is possible; the home may feel restless or unsettled.
Property and vehicles are of little attachment.
Emotional rootlessness is the lesson: inner peace has to be built rather than borrowed from the house.</t>
        </is>
      </c>
      <c r="D101" s="3" t="n"/>
      <c r="E101" s="3" t="inlineStr">
        <is>
          <t>curated</t>
        </is>
      </c>
      <c r="F101" s="3" t="inlineStr">
        <is>
          <t>KARAKATWAS[Ketu: qualities, signifies] + BHAVA_INFO[4: sig, body, rel]</t>
        </is>
      </c>
    </row>
    <row r="102" ht="129" customHeight="1">
      <c r="A102" s="3" t="inlineStr">
        <is>
          <t>Ketu</t>
        </is>
      </c>
      <c r="B102" s="3" t="n">
        <v>5</v>
      </c>
      <c r="C102" s="3" t="inlineStr">
        <is>
          <t>Ketu in the 5th gives a mystical, intuitive intellect and strong poorva punya (past-life merit), with an interest in mantra and upasana.
Children, romance and speculation may be delayed or detached; love can be spiritual rather than worldly.
Higher studies in mystic or research fields are favoured.
Detachment from creativity and losses in speculation are the cautionary side.</t>
        </is>
      </c>
      <c r="D102" s="3" t="n"/>
      <c r="E102" s="3" t="inlineStr">
        <is>
          <t>curated</t>
        </is>
      </c>
      <c r="F102" s="3" t="inlineStr">
        <is>
          <t>KARAKATWAS[Ketu: qualities, signifies] + BHAVA_INFO[5: sig, body, rel]</t>
        </is>
      </c>
    </row>
    <row r="103" ht="114.7" customHeight="1">
      <c r="A103" s="3" t="inlineStr">
        <is>
          <t>Ketu</t>
        </is>
      </c>
      <c r="B103" s="3" t="n">
        <v>6</v>
      </c>
      <c r="C103" s="3" t="inlineStr">
        <is>
          <t>Ketu in the 6th is strong: it helps defeat enemies, debts and obstacles through detachment and intuition.
Healing, research and service professions suit the person; disputes end suddenly.
Unusual or hard-to-diagnose ailments are the cautionary side.
Ketu's intuition in the 6th matures with age, and results improve with time.</t>
        </is>
      </c>
      <c r="D103" s="3" t="n"/>
      <c r="E103" s="3" t="inlineStr">
        <is>
          <t>curated</t>
        </is>
      </c>
      <c r="F103" s="3" t="inlineStr">
        <is>
          <t>KARAKATWAS[Ketu: qualities, signifies] + BHAVA_INFO[6: sig, body, rel]</t>
        </is>
      </c>
    </row>
    <row r="104" ht="129" customHeight="1">
      <c r="A104" s="3" t="inlineStr">
        <is>
          <t>Ketu</t>
        </is>
      </c>
      <c r="B104" s="3" t="n">
        <v>7</v>
      </c>
      <c r="C104" s="3" t="inlineStr">
        <is>
          <t>Ketu in the 7th gives detachment in partnerships: the spouse or partner may be spiritual, distant or unconventional.
Business partnerships may end suddenly; dealings with the public are reserved.
Sudden separation or distance in marriage is the cautionary side. This is also a Maraka house, so close ties call for patience.
Spiritual growth is the lesson in relationships.</t>
        </is>
      </c>
      <c r="D104" s="3" t="n"/>
      <c r="E104" s="3" t="inlineStr">
        <is>
          <t>curated</t>
        </is>
      </c>
      <c r="F104" s="3" t="inlineStr">
        <is>
          <t>KARAKATWAS[Ketu: qualities, signifies] + BHAVA_INFO[7: sig, body, rel]</t>
        </is>
      </c>
    </row>
    <row r="105" ht="114.7" customHeight="1">
      <c r="A105" s="3" t="inlineStr">
        <is>
          <t>Ketu</t>
        </is>
      </c>
      <c r="B105" s="3" t="n">
        <v>8</v>
      </c>
      <c r="C105" s="3" t="inlineStr">
        <is>
          <t>Ketu in the 8th gives a strong interest in moksha, mysticism, research and the occult; past-life karma is felt through sudden transformations.
Intuition is high; sudden events and unusual circumstances are indicated.
Chronic or hard-to-diagnose ailments need care.
Fear and attachment to the physical body are the cautionary side.</t>
        </is>
      </c>
      <c r="D105" s="3" t="n"/>
      <c r="E105" s="3" t="inlineStr">
        <is>
          <t>curated</t>
        </is>
      </c>
      <c r="F105" s="3" t="inlineStr">
        <is>
          <t>KARAKATWAS[Ketu: qualities, signifies] + BHAVA_INFO[8: sig, body, rel]</t>
        </is>
      </c>
    </row>
    <row r="106" ht="129" customHeight="1">
      <c r="A106" s="3" t="inlineStr">
        <is>
          <t>Ketu</t>
        </is>
      </c>
      <c r="B106" s="3" t="n">
        <v>9</v>
      </c>
      <c r="C106" s="3" t="inlineStr">
        <is>
          <t>Ketu in the 9th gives a deep, mystic and detached approach to dharma, with spiritual teachers and past-life wisdom.
Fortune comes through spiritual paths; relationships with the father or gurus may be distant or detached.
Pilgrimage, meditation and time with a true teacher bring growth.
Rejection of conventional belief and lack of direction are the cautionary side.</t>
        </is>
      </c>
      <c r="D106" s="3" t="n"/>
      <c r="E106" s="3" t="inlineStr">
        <is>
          <t>curated</t>
        </is>
      </c>
      <c r="F106" s="3" t="inlineStr">
        <is>
          <t>KARAKATWAS[Ketu: qualities, signifies] + BHAVA_INFO[9: sig, body, rel]</t>
        </is>
      </c>
    </row>
    <row r="107" ht="114.7" customHeight="1">
      <c r="A107" s="3" t="inlineStr">
        <is>
          <t>Ketu</t>
        </is>
      </c>
      <c r="B107" s="3" t="n">
        <v>10</v>
      </c>
      <c r="C107" s="3" t="inlineStr">
        <is>
          <t>Ketu in the 10th gives detachment from status and career; success can come through research, spirituality, healing or behind-the-scenes work.
Sudden changes or severance in career are possible.
Public image is modest or enigmatic.
Lack of ambition or direction is the cautionary side.</t>
        </is>
      </c>
      <c r="D107" s="3" t="n"/>
      <c r="E107" s="3" t="inlineStr">
        <is>
          <t>curated</t>
        </is>
      </c>
      <c r="F107" s="3" t="inlineStr">
        <is>
          <t>KARAKATWAS[Ketu: qualities, signifies] + BHAVA_INFO[10: sig, body, rel]</t>
        </is>
      </c>
    </row>
    <row r="108" ht="129" customHeight="1">
      <c r="A108" s="3" t="inlineStr">
        <is>
          <t>Ketu</t>
        </is>
      </c>
      <c r="B108" s="3" t="n">
        <v>11</v>
      </c>
      <c r="C108" s="3" t="inlineStr">
        <is>
          <t>Ketu in the 11th is strong: it gives detachment from gains, friends and desires; a small, spiritual circle of friends is favoured.
Gains come in sudden, unexpected ways; elder siblings may be distant.
Ordinary desires and ambitions fade with spiritual practice, which can look like disinterest in gains.
Sudden severance from friends and lack of ambition are the cautionary side.</t>
        </is>
      </c>
      <c r="D108" s="3" t="n"/>
      <c r="E108" s="3" t="inlineStr">
        <is>
          <t>curated</t>
        </is>
      </c>
      <c r="F108" s="3" t="inlineStr">
        <is>
          <t>KARAKATWAS[Ketu: qualities, signifies] + BHAVA_INFO[11: sig, body, rel]</t>
        </is>
      </c>
    </row>
    <row r="109" ht="129" customHeight="1">
      <c r="A109" s="3" t="inlineStr">
        <is>
          <t>Ketu</t>
        </is>
      </c>
      <c r="B109" s="3" t="n">
        <v>12</v>
      </c>
      <c r="C109" s="3" t="inlineStr">
        <is>
          <t>Ketu in the 12th is a natural karaka placement: it favours moksha, meditation, isolation and spiritual practice.
Foreign residence, hospitals, ashrams and retreats are associated; sleep and dreams are intuitive.
Losses are accepted with detachment; sudden expenses are possible.
Escapism, withdrawal and neglect of practical duties are the cautionary side.</t>
        </is>
      </c>
      <c r="D109" s="3" t="n"/>
      <c r="E109" s="3" t="inlineStr">
        <is>
          <t>curated</t>
        </is>
      </c>
      <c r="F109" s="3" t="inlineStr">
        <is>
          <t>KARAKATWAS[Ketu: qualities, signifies] + BHAVA_INFO[12: sig, body, rel]</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37"/>
  <sheetViews>
    <sheetView tabSelected="1" zoomScaleNormal="100" workbookViewId="0">
      <pane ySplit="1" topLeftCell="A12" activePane="bottomLeft" state="frozen"/>
      <selection pane="bottomLeft" activeCell="A1" sqref="A1"/>
    </sheetView>
  </sheetViews>
  <sheetFormatPr baseColWidth="8" defaultColWidth="8.703125" defaultRowHeight="14.35"/>
  <cols>
    <col width="16" customWidth="1" min="1" max="2"/>
    <col width="70" customWidth="1" min="3" max="4"/>
    <col width="16" customWidth="1" min="5" max="5"/>
    <col width="70" customWidth="1" min="6" max="6"/>
  </cols>
  <sheetData>
    <row r="1">
      <c r="A1" s="10" t="inlineStr">
        <is>
          <t>A</t>
        </is>
      </c>
      <c r="B1" s="10" t="inlineStr">
        <is>
          <t>B</t>
        </is>
      </c>
      <c r="C1" s="10" t="inlineStr">
        <is>
          <t>Conjunction</t>
        </is>
      </c>
      <c r="D1" s="10" t="inlineStr">
        <is>
          <t>Aspect</t>
        </is>
      </c>
      <c r="E1" s="10" t="inlineStr">
        <is>
          <t>Status</t>
        </is>
      </c>
      <c r="F1" s="10" t="inlineStr">
        <is>
          <t>Source</t>
        </is>
      </c>
    </row>
    <row r="2" ht="43" customHeight="1">
      <c r="A2" s="3" t="inlineStr">
        <is>
          <t>Mercury</t>
        </is>
      </c>
      <c r="B2" s="3" t="inlineStr">
        <is>
          <t>Jupiter</t>
        </is>
      </c>
      <c r="C2" s="3" t="inlineStr">
        <is>
          <t>Jupiter is the jiva karaka — the individual; Mercury is intelligence, education, communication, oration and business. Together the individual is very intelligent, or likes business, or is very good in communication.</t>
        </is>
      </c>
      <c r="D2" s="3" t="n"/>
      <c r="E2" s="3" t="inlineStr">
        <is>
          <t>taught</t>
        </is>
      </c>
      <c r="F2" s="3" t="inlineStr">
        <is>
          <t>Slide 26 example + recording (Session 23)</t>
        </is>
      </c>
    </row>
    <row r="3" ht="57.35" customHeight="1">
      <c r="A3" s="3" t="inlineStr">
        <is>
          <t>Sun</t>
        </is>
      </c>
      <c r="B3" s="3" t="inlineStr">
        <is>
          <t>Moon</t>
        </is>
      </c>
      <c r="C3" s="3" t="inlineStr">
        <is>
          <t>The Sun is the soul, authority and the father; the Moon is the mind, emotion and the mother. Together the will and the feelings work as one: purposeful and self-aware, though close to the new moon the mind can be dominated by ego and may struggle to see other views.</t>
        </is>
      </c>
      <c r="D3" s="3" t="inlineStr">
        <is>
          <t>When the Sun and Moon look at each other, the soul and the mind are in dialogue: confidence and sensitivity balance each other, and the relation between the father and mother plays a visible role in the person's life.</t>
        </is>
      </c>
      <c r="E3" s="3" t="inlineStr">
        <is>
          <t>curated</t>
        </is>
      </c>
      <c r="F3" s="3" t="inlineStr">
        <is>
          <t>KARAKATWAS[Sun, Moon: qualities, signifies] + PLANET_PROFILE[Sun, Moon: Nature]</t>
        </is>
      </c>
    </row>
    <row r="4" ht="43" customHeight="1">
      <c r="A4" s="3" t="inlineStr">
        <is>
          <t>Sun</t>
        </is>
      </c>
      <c r="B4" s="3" t="inlineStr">
        <is>
          <t>Mars</t>
        </is>
      </c>
      <c r="C4" s="3" t="inlineStr">
        <is>
          <t>The Sun is authority and ego; Mars is energy, courage and aggression. Together they give a bold, driven and competitive nature, good for leadership, defence, surgery or engineering, but anger, pride and heat (blood pressure, inflammation) need watching.</t>
        </is>
      </c>
      <c r="D4" s="3" t="inlineStr">
        <is>
          <t>When the Sun and Mars look at each other, drive and willpower reinforce one another; the person acts with confidence, and conflicts with authority figures or siblings need a cool head.</t>
        </is>
      </c>
      <c r="E4" s="3" t="inlineStr">
        <is>
          <t>curated</t>
        </is>
      </c>
      <c r="F4" s="3" t="inlineStr">
        <is>
          <t>KARAKATWAS[Sun, Mars: qualities, signifies] + PLANET_PROFILE[Sun, Mars: Nature]</t>
        </is>
      </c>
    </row>
    <row r="5" ht="57.35" customHeight="1">
      <c r="A5" s="3" t="inlineStr">
        <is>
          <t>Sun</t>
        </is>
      </c>
      <c r="B5" s="3" t="inlineStr">
        <is>
          <t>Mercury</t>
        </is>
      </c>
      <c r="C5" s="3" t="inlineStr">
        <is>
          <t>The Sun is authority and the soul; Mercury is intellect, speech and business. Together they give a sharp, authoritative mind — good for administration, teaching, writing and government work — though the close conjunction is called combustion and can dim Mercury's expression.</t>
        </is>
      </c>
      <c r="D5" s="3" t="inlineStr">
        <is>
          <t>When the Sun and Mercury look at each other, the intellect is lit by self-confidence; the person speaks with authority and values knowledge, though it can sound self-assured.</t>
        </is>
      </c>
      <c r="E5" s="3" t="inlineStr">
        <is>
          <t>curated</t>
        </is>
      </c>
      <c r="F5" s="3" t="inlineStr">
        <is>
          <t>KARAKATWAS[Sun, Mercury: qualities, signifies] + PLANET_PROFILE[Sun, Mercury: Nature]</t>
        </is>
      </c>
    </row>
    <row r="6" ht="43" customHeight="1">
      <c r="A6" s="3" t="inlineStr">
        <is>
          <t>Sun</t>
        </is>
      </c>
      <c r="B6" s="3" t="inlineStr">
        <is>
          <t>Jupiter</t>
        </is>
      </c>
      <c r="C6" s="3" t="inlineStr">
        <is>
          <t>The Sun is authority, the father and the soul; Jupiter is wisdom, nobility and the guru. Together they give an ethical, dignified, respected person, suited to teaching, counselling, law and public office, with natural leadership and faith.</t>
        </is>
      </c>
      <c r="D6" s="3" t="inlineStr">
        <is>
          <t>When the Sun and Jupiter look at each other, wisdom supports authority: the person is guided by principles, gets help from teachers and elders, and fortune improves through merit.</t>
        </is>
      </c>
      <c r="E6" s="3" t="inlineStr">
        <is>
          <t>curated</t>
        </is>
      </c>
      <c r="F6" s="3" t="inlineStr">
        <is>
          <t>KARAKATWAS[Sun, Jupiter: qualities, signifies] + PLANET_PROFILE[Sun, Jupiter: Nature]</t>
        </is>
      </c>
    </row>
    <row r="7" ht="43" customHeight="1">
      <c r="A7" s="3" t="inlineStr">
        <is>
          <t>Sun</t>
        </is>
      </c>
      <c r="B7" s="3" t="inlineStr">
        <is>
          <t>Venus</t>
        </is>
      </c>
      <c r="C7" s="3" t="inlineStr">
        <is>
          <t>The Sun is ego and authority; Venus is refinement, charm and comfort. Together they give a dignified, artistic and attractive personality, but Venus is easily overshadowed by the Sun's heat, so relationships and pleasures may take second place to ambition.</t>
        </is>
      </c>
      <c r="D7" s="3" t="inlineStr">
        <is>
          <t>When the Sun and Venus look at each other, authority and charm interact: the person likes a refined lifestyle, though ego can colour relationships and the spouse may be strong-minded.</t>
        </is>
      </c>
      <c r="E7" s="3" t="inlineStr">
        <is>
          <t>curated</t>
        </is>
      </c>
      <c r="F7" s="3" t="inlineStr">
        <is>
          <t>KARAKATWAS[Sun, Venus: qualities, signifies] + PLANET_PROFILE[Sun, Venus: Nature]</t>
        </is>
      </c>
    </row>
    <row r="8" ht="43" customHeight="1">
      <c r="A8" s="3" t="inlineStr">
        <is>
          <t>Sun</t>
        </is>
      </c>
      <c r="B8" s="3" t="inlineStr">
        <is>
          <t>Saturn</t>
        </is>
      </c>
      <c r="C8" s="3" t="inlineStr">
        <is>
          <t>The Sun is authority, the father and ego; Saturn is discipline, delay and hard work. Being natural enemies, they can bring tension between ego and duty, or between father and son, and a hard-won, late-maturing success.</t>
        </is>
      </c>
      <c r="D8" s="3" t="inlineStr">
        <is>
          <t>When the Sun and Saturn look at each other, willpower meets restraint: there is struggle and delay, but it matures into responsibility, perseverance and respect over time.</t>
        </is>
      </c>
      <c r="E8" s="3" t="inlineStr">
        <is>
          <t>curated</t>
        </is>
      </c>
      <c r="F8" s="3" t="inlineStr">
        <is>
          <t>KARAKATWAS[Sun, Saturn: qualities, signifies] + PLANET_PROFILE[Sun, Saturn: Nature]</t>
        </is>
      </c>
    </row>
    <row r="9" ht="43" customHeight="1">
      <c r="A9" s="3" t="inlineStr">
        <is>
          <t>Sun</t>
        </is>
      </c>
      <c r="B9" s="3" t="inlineStr">
        <is>
          <t>Rahu</t>
        </is>
      </c>
      <c r="C9" s="3" t="inlineStr">
        <is>
          <t>The Sun is the soul and authority; Rahu is obsession and amplification. Together ego can swell, and the person may seek status, power or recognition with intensity; the father's influence may be unusual. This asks for humility.</t>
        </is>
      </c>
      <c r="D9" s="3" t="inlineStr">
        <is>
          <t>When the Sun and Rahu look at each other, ambition and illusion mingle: there is a pull towards unconventional paths and recognition, with the need to guard against ego and confusion about identity.</t>
        </is>
      </c>
      <c r="E9" s="3" t="inlineStr">
        <is>
          <t>curated</t>
        </is>
      </c>
      <c r="F9" s="3" t="inlineStr">
        <is>
          <t>KARAKATWAS[Sun, Rahu: qualities, signifies] + PLANET_PROFILE[Sun, Rahu: Nature]</t>
        </is>
      </c>
    </row>
    <row r="10" ht="43" customHeight="1">
      <c r="A10" s="3" t="inlineStr">
        <is>
          <t>Sun</t>
        </is>
      </c>
      <c r="B10" s="3" t="inlineStr">
        <is>
          <t>Ketu</t>
        </is>
      </c>
      <c r="C10" s="3" t="inlineStr">
        <is>
          <t>The Sun is the soul and ego; Ketu is detachment and spirituality. Together the sense of self is turned inward: the person may be introspective, spiritual or indifferent to status, and the relationship with the father may be distant.</t>
        </is>
      </c>
      <c r="D10" s="3" t="inlineStr">
        <is>
          <t>When the Sun and Ketu look at each other, ego meets detachment: the person questions identity and authority, and may find purpose in spiritual or research pursuits.</t>
        </is>
      </c>
      <c r="E10" s="3" t="inlineStr">
        <is>
          <t>curated</t>
        </is>
      </c>
      <c r="F10" s="3" t="inlineStr">
        <is>
          <t>KARAKATWAS[Sun, Ketu: qualities, signifies] + PLANET_PROFILE[Sun, Ketu: Nature]</t>
        </is>
      </c>
    </row>
    <row r="11" ht="57.35" customHeight="1">
      <c r="A11" s="3" t="inlineStr">
        <is>
          <t>Moon</t>
        </is>
      </c>
      <c r="B11" s="3" t="inlineStr">
        <is>
          <t>Mars</t>
        </is>
      </c>
      <c r="C11" s="3" t="inlineStr">
        <is>
          <t>The Moon is the mind and emotion; Mars is energy and courage. Together feelings turn into action: a passionate, courageous, quick-tempered mind; good for property, real estate and energetic work. It favours earning, though moods and impulsiveness need steadying.</t>
        </is>
      </c>
      <c r="D11" s="3" t="inlineStr">
        <is>
          <t>When the Moon and Mars look at each other, emotion and drive influence one another: the person acts on feelings, can be enterprising and short-tempered, and the mother and younger siblings play an active role.</t>
        </is>
      </c>
      <c r="E11" s="3" t="inlineStr">
        <is>
          <t>curated</t>
        </is>
      </c>
      <c r="F11" s="3" t="inlineStr">
        <is>
          <t>KARAKATWAS[Moon, Mars: qualities, signifies] + PLANET_PROFILE[Moon, Mars: Nature]</t>
        </is>
      </c>
    </row>
    <row r="12" ht="43" customHeight="1">
      <c r="A12" s="3" t="inlineStr">
        <is>
          <t>Moon</t>
        </is>
      </c>
      <c r="B12" s="3" t="inlineStr">
        <is>
          <t>Mercury</t>
        </is>
      </c>
      <c r="C12" s="3" t="inlineStr">
        <is>
          <t>The Moon is emotion and the mind; Mercury is intellect and communication. Together they give a quick, imaginative, communicative mind with a gift for writing, trading and learning, though it can be restless and over-thinking.</t>
        </is>
      </c>
      <c r="D12" s="3" t="inlineStr">
        <is>
          <t>When the Moon and Mercury look at each other, feeling and reasoning work together: the person is a sensitive communicator, adaptable, curious and inventive.</t>
        </is>
      </c>
      <c r="E12" s="3" t="inlineStr">
        <is>
          <t>curated</t>
        </is>
      </c>
      <c r="F12" s="3" t="inlineStr">
        <is>
          <t>KARAKATWAS[Moon, Mercury: qualities, signifies] + PLANET_PROFILE[Moon, Mercury: Nature]</t>
        </is>
      </c>
    </row>
    <row r="13" ht="43" customHeight="1">
      <c r="A13" s="3" t="inlineStr">
        <is>
          <t>Moon</t>
        </is>
      </c>
      <c r="B13" s="3" t="inlineStr">
        <is>
          <t>Jupiter</t>
        </is>
      </c>
      <c r="C13" s="3" t="inlineStr">
        <is>
          <t>The Moon is the mind and nurture; Jupiter is wisdom and good fortune. Together they give a kind, optimistic, generous mind — which favours respect, wisdom, family happiness and prosperity.</t>
        </is>
      </c>
      <c r="D13" s="3" t="inlineStr">
        <is>
          <t>When the Moon and Jupiter look at each other, the mind is blessed with wisdom and optimism; the person is respected, calm and supported by teachers and family.</t>
        </is>
      </c>
      <c r="E13" s="3" t="inlineStr">
        <is>
          <t>curated</t>
        </is>
      </c>
      <c r="F13" s="3" t="inlineStr">
        <is>
          <t>KARAKATWAS[Moon, Jupiter: qualities, signifies] + PLANET_PROFILE[Moon, Jupiter: Nature]</t>
        </is>
      </c>
    </row>
    <row r="14" ht="57.35" customHeight="1">
      <c r="A14" s="3" t="inlineStr">
        <is>
          <t>Moon</t>
        </is>
      </c>
      <c r="B14" s="3" t="inlineStr">
        <is>
          <t>Venus</t>
        </is>
      </c>
      <c r="C14" s="3" t="inlineStr">
        <is>
          <t>The Moon is emotion and the mother; Venus is charm, love and comfort. Together they give a loving, artistic, pleasure-seeking nature with a taste for music, beauty and comfort; relationships with women are important, and excess indulgence is the caution.</t>
        </is>
      </c>
      <c r="D14" s="3" t="inlineStr">
        <is>
          <t>When the Moon and Venus look at each other, feeling and charm blend: the person is affectionate, tasteful and sociable, with warm family bonds.</t>
        </is>
      </c>
      <c r="E14" s="3" t="inlineStr">
        <is>
          <t>curated</t>
        </is>
      </c>
      <c r="F14" s="3" t="inlineStr">
        <is>
          <t>KARAKATWAS[Moon, Venus: qualities, signifies] + PLANET_PROFILE[Moon, Venus: Nature]</t>
        </is>
      </c>
    </row>
    <row r="15" ht="43" customHeight="1">
      <c r="A15" s="3" t="inlineStr">
        <is>
          <t>Moon</t>
        </is>
      </c>
      <c r="B15" s="3" t="inlineStr">
        <is>
          <t>Saturn</t>
        </is>
      </c>
      <c r="C15" s="3" t="inlineStr">
        <is>
          <t>The Moon is the mind and emotion; Saturn is delay, discipline and detachment. Together they bring a serious, reserved, worry-prone mind; emotional heaviness and a hard early life can mature into patience and resilience.</t>
        </is>
      </c>
      <c r="D15" s="3" t="inlineStr">
        <is>
          <t>When the Moon and Saturn look at each other, the mind is tested by restraint: caution, worry and isolation are possible, but so are discipline, endurance and depth.</t>
        </is>
      </c>
      <c r="E15" s="3" t="inlineStr">
        <is>
          <t>curated</t>
        </is>
      </c>
      <c r="F15" s="3" t="inlineStr">
        <is>
          <t>KARAKATWAS[Moon, Saturn: qualities, signifies] + PLANET_PROFILE[Moon, Saturn: Nature]</t>
        </is>
      </c>
    </row>
    <row r="16" ht="43" customHeight="1">
      <c r="A16" s="3" t="inlineStr">
        <is>
          <t>Moon</t>
        </is>
      </c>
      <c r="B16" s="3" t="inlineStr">
        <is>
          <t>Rahu</t>
        </is>
      </c>
      <c r="C16" s="3" t="inlineStr">
        <is>
          <t>The Moon is the mind; Rahu is obsession and illusion. Together they can amplify emotions, anxieties and fears and bring an unconventional mind, a pull towards foreign matters and mental restlessness; steadiness and meditation help.</t>
        </is>
      </c>
      <c r="D16" s="3" t="inlineStr">
        <is>
          <t>When the Moon and Rahu look at each other, the mind is stirred by desire and imagination; vivid dreams, anxieties and unusual attractions are possible, and the mother's influence may be unconventional.</t>
        </is>
      </c>
      <c r="E16" s="3" t="inlineStr">
        <is>
          <t>curated</t>
        </is>
      </c>
      <c r="F16" s="3" t="inlineStr">
        <is>
          <t>KARAKATWAS[Moon, Rahu: qualities, signifies] + PLANET_PROFILE[Moon, Rahu: Nature]</t>
        </is>
      </c>
    </row>
    <row r="17" ht="43" customHeight="1">
      <c r="A17" s="3" t="inlineStr">
        <is>
          <t>Moon</t>
        </is>
      </c>
      <c r="B17" s="3" t="inlineStr">
        <is>
          <t>Ketu</t>
        </is>
      </c>
      <c r="C17" s="3" t="inlineStr">
        <is>
          <t>The Moon is emotion and the mother; Ketu is detachment and mysticism. Together they give an intuitive, spiritual and withdrawn mind that can find the emotional world confusing; sudden emotional severances and sensitivity are possible.</t>
        </is>
      </c>
      <c r="D17" s="3" t="inlineStr">
        <is>
          <t>When the Moon and Ketu look at each other, feelings are tinged with detachment: intuition and psychic sensitivity are high, with moods that are hard to explain.</t>
        </is>
      </c>
      <c r="E17" s="3" t="inlineStr">
        <is>
          <t>curated</t>
        </is>
      </c>
      <c r="F17" s="3" t="inlineStr">
        <is>
          <t>KARAKATWAS[Moon, Ketu: qualities, signifies] + PLANET_PROFILE[Moon, Ketu: Nature]</t>
        </is>
      </c>
    </row>
    <row r="18" ht="43" customHeight="1">
      <c r="A18" s="3" t="inlineStr">
        <is>
          <t>Mars</t>
        </is>
      </c>
      <c r="B18" s="3" t="inlineStr">
        <is>
          <t>Mercury</t>
        </is>
      </c>
      <c r="C18" s="3" t="inlineStr">
        <is>
          <t>Mars is energy and aggression; Mercury is intellect and speech. Together they give a sharp, quick, argumentative mind — good for debate, engineering, technical work and sales — but words can turn harsh and nerves can be strained.</t>
        </is>
      </c>
      <c r="D18" s="3" t="inlineStr">
        <is>
          <t>When Mars and Mercury look at each other, the intellect is spurred by energy: the person is quick-witted and direct, though impatient and sometimes sharp-tongued.</t>
        </is>
      </c>
      <c r="E18" s="3" t="inlineStr">
        <is>
          <t>curated</t>
        </is>
      </c>
      <c r="F18" s="3" t="inlineStr">
        <is>
          <t>KARAKATWAS[Mars, Mercury: qualities, signifies] + PLANET_PROFILE[Mars, Mercury: Nature]</t>
        </is>
      </c>
    </row>
    <row r="19" ht="43" customHeight="1">
      <c r="A19" s="3" t="inlineStr">
        <is>
          <t>Mars</t>
        </is>
      </c>
      <c r="B19" s="3" t="inlineStr">
        <is>
          <t>Jupiter</t>
        </is>
      </c>
      <c r="C19" s="3" t="inlineStr">
        <is>
          <t>Mars is courage and action; Jupiter is wisdom and expansion. Together action is guided by principle: a brave, ethical, enterprising person, good for law, administration, defence and teaching.</t>
        </is>
      </c>
      <c r="D19" s="3" t="inlineStr">
        <is>
          <t>When Mars and Jupiter look at each other, energy meets wisdom: the person acts with purpose and optimism, and effort is rewarded when it follows dharma.</t>
        </is>
      </c>
      <c r="E19" s="3" t="inlineStr">
        <is>
          <t>curated</t>
        </is>
      </c>
      <c r="F19" s="3" t="inlineStr">
        <is>
          <t>KARAKATWAS[Mars, Jupiter: qualities, signifies] + PLANET_PROFILE[Mars, Jupiter: Nature]</t>
        </is>
      </c>
    </row>
    <row r="20" ht="43" customHeight="1">
      <c r="A20" s="3" t="inlineStr">
        <is>
          <t>Mars</t>
        </is>
      </c>
      <c r="B20" s="3" t="inlineStr">
        <is>
          <t>Venus</t>
        </is>
      </c>
      <c r="C20" s="3" t="inlineStr">
        <is>
          <t>Mars is passion and aggression; Venus is love and refinement. Together they give a passionate, energetic, romantic nature, artistic drive and attraction to the opposite sex; desires are strong and the relationship needs balance.</t>
        </is>
      </c>
      <c r="D20" s="3" t="inlineStr">
        <is>
          <t>When Mars and Venus look at each other, energy and desire interact: the person is magnetic and passionate, with creative drive and a lively romantic life.</t>
        </is>
      </c>
      <c r="E20" s="3" t="inlineStr">
        <is>
          <t>curated</t>
        </is>
      </c>
      <c r="F20" s="3" t="inlineStr">
        <is>
          <t>KARAKATWAS[Mars, Venus: qualities, signifies] + PLANET_PROFILE[Mars, Venus: Nature]</t>
        </is>
      </c>
    </row>
    <row r="21" ht="43" customHeight="1">
      <c r="A21" s="3" t="inlineStr">
        <is>
          <t>Mars</t>
        </is>
      </c>
      <c r="B21" s="3" t="inlineStr">
        <is>
          <t>Saturn</t>
        </is>
      </c>
      <c r="C21" s="3" t="inlineStr">
        <is>
          <t>Mars is energy and impulse; Saturn is delay and discipline. Together they bring friction — drive held back by restraint — which can build endurance and technical skill but also frustration, accidents and harshness.</t>
        </is>
      </c>
      <c r="D21" s="3" t="inlineStr">
        <is>
          <t>When Mars and Saturn look at each other, impulse meets caution: there are tests of patience, delays and tensions, and the result can be sustained, disciplined effort.</t>
        </is>
      </c>
      <c r="E21" s="3" t="inlineStr">
        <is>
          <t>curated</t>
        </is>
      </c>
      <c r="F21" s="3" t="inlineStr">
        <is>
          <t>KARAKATWAS[Mars, Saturn: qualities, signifies] + PLANET_PROFILE[Mars, Saturn: Nature]</t>
        </is>
      </c>
    </row>
    <row r="22" ht="43" customHeight="1">
      <c r="A22" s="3" t="inlineStr">
        <is>
          <t>Mars</t>
        </is>
      </c>
      <c r="B22" s="3" t="inlineStr">
        <is>
          <t>Rahu</t>
        </is>
      </c>
      <c r="C22" s="3" t="inlineStr">
        <is>
          <t>Mars is courage and aggression; Rahu is obsession and amplification. Together they intensify anger, risk-taking and ambition; the person is daring and unconventional but prone to impulse, accidents and conflict.</t>
        </is>
      </c>
      <c r="D22" s="3" t="inlineStr">
        <is>
          <t>When Mars and Rahu look at each other, aggression and obsession feed each other: bold, risk-taking energy, with the need to guard against accidents, anger and rash decisions.</t>
        </is>
      </c>
      <c r="E22" s="3" t="inlineStr">
        <is>
          <t>curated</t>
        </is>
      </c>
      <c r="F22" s="3" t="inlineStr">
        <is>
          <t>KARAKATWAS[Mars, Rahu: qualities, signifies] + PLANET_PROFILE[Mars, Rahu: Nature]</t>
        </is>
      </c>
    </row>
    <row r="23" ht="43" customHeight="1">
      <c r="A23" s="3" t="inlineStr">
        <is>
          <t>Mars</t>
        </is>
      </c>
      <c r="B23" s="3" t="inlineStr">
        <is>
          <t>Ketu</t>
        </is>
      </c>
      <c r="C23" s="3" t="inlineStr">
        <is>
          <t>Mars is courage and action; Ketu is detachment and severance. Together the courage can turn into fearless, sharp, sometimes reckless action, and interest in surgery, spiritual discipline or martial work; sudden cuts, injuries and quarrels need care.</t>
        </is>
      </c>
      <c r="D23" s="3" t="inlineStr">
        <is>
          <t>When Mars and Ketu look at each other, energy meets detachment: the person can be fearless and indifferent to consequences; channelled well, it becomes spiritual discipline.</t>
        </is>
      </c>
      <c r="E23" s="3" t="inlineStr">
        <is>
          <t>curated</t>
        </is>
      </c>
      <c r="F23" s="3" t="inlineStr">
        <is>
          <t>KARAKATWAS[Mars, Ketu: qualities, signifies] + PLANET_PROFILE[Mars, Ketu: Nature]</t>
        </is>
      </c>
    </row>
    <row r="24" ht="43" customHeight="1">
      <c r="A24" s="3" t="inlineStr">
        <is>
          <t>Mercury</t>
        </is>
      </c>
      <c r="B24" s="3" t="inlineStr">
        <is>
          <t>Venus</t>
        </is>
      </c>
      <c r="C24" s="3" t="inlineStr">
        <is>
          <t>Mercury is intellect, speech and business; Venus is charm and the arts. Together they give a witty, artistic, charming communicator with talent in design, writing, music, fashion and trade; friendly and pleasing manners.</t>
        </is>
      </c>
      <c r="D24" s="3" t="inlineStr">
        <is>
          <t>When Mercury and Venus look at each other, intellect and charm blend: the person is sociable, creative and persuasive, with taste in language and the arts.</t>
        </is>
      </c>
      <c r="E24" s="3" t="inlineStr">
        <is>
          <t>curated</t>
        </is>
      </c>
      <c r="F24" s="3" t="inlineStr">
        <is>
          <t>KARAKATWAS[Mercury, Venus: qualities, signifies] + PLANET_PROFILE[Mercury, Venus: Nature]</t>
        </is>
      </c>
    </row>
    <row r="25" ht="43" customHeight="1">
      <c r="A25" s="3" t="inlineStr">
        <is>
          <t>Mercury</t>
        </is>
      </c>
      <c r="B25" s="3" t="inlineStr">
        <is>
          <t>Saturn</t>
        </is>
      </c>
      <c r="C25" s="3" t="inlineStr">
        <is>
          <t>Mercury is intellect and speech; Saturn is discipline and delay. Together they give a serious, methodical, analytical mind with skill in accounts, research and technical work; speech is measured, and worry or nervous strain can build.</t>
        </is>
      </c>
      <c r="D25" s="3" t="inlineStr">
        <is>
          <t>When Mercury and Saturn look at each other, the intellect is steadied by discipline: careful, practical thinking and good concentration, with a tendency to over-think.</t>
        </is>
      </c>
      <c r="E25" s="3" t="inlineStr">
        <is>
          <t>curated</t>
        </is>
      </c>
      <c r="F25" s="3" t="inlineStr">
        <is>
          <t>KARAKATWAS[Mercury, Saturn: qualities, signifies] + PLANET_PROFILE[Mercury, Saturn: Nature]</t>
        </is>
      </c>
    </row>
    <row r="26" ht="43" customHeight="1">
      <c r="A26" s="3" t="inlineStr">
        <is>
          <t>Mercury</t>
        </is>
      </c>
      <c r="B26" s="3" t="inlineStr">
        <is>
          <t>Rahu</t>
        </is>
      </c>
      <c r="C26" s="3" t="inlineStr">
        <is>
          <t>Mercury is intellect and communication; Rahu is amplification and unconventionality. Together they give a clever, inventive mind with talent for technology, media and foreign languages; it can also be restless, cunning or confused.</t>
        </is>
      </c>
      <c r="D26" s="3" t="inlineStr">
        <is>
          <t>When Mercury and Rahu look at each other, thinking is stirred by novelty and ambition: smart, tech-minded and persuasive, with the need to guard against exaggeration and deceit.</t>
        </is>
      </c>
      <c r="E26" s="3" t="inlineStr">
        <is>
          <t>curated</t>
        </is>
      </c>
      <c r="F26" s="3" t="inlineStr">
        <is>
          <t>KARAKATWAS[Mercury, Rahu: qualities, signifies] + PLANET_PROFILE[Mercury, Rahu: Nature]</t>
        </is>
      </c>
    </row>
    <row r="27" ht="43" customHeight="1">
      <c r="A27" s="3" t="inlineStr">
        <is>
          <t>Mercury</t>
        </is>
      </c>
      <c r="B27" s="3" t="inlineStr">
        <is>
          <t>Ketu</t>
        </is>
      </c>
      <c r="C27" s="3" t="inlineStr">
        <is>
          <t>Mercury is intellect and speech; Ketu is detachment and mysticism. Together they give an intuitive, research-oriented mind with an interest in astrology, mathematics and spirituality; speech can be brief and the mind withdrawn.</t>
        </is>
      </c>
      <c r="D27" s="3" t="inlineStr">
        <is>
          <t>When Mercury and Ketu look at each other, logic meets intuition: sudden insights and an analytical bent for hidden subjects, with a tendency to isolation of thought.</t>
        </is>
      </c>
      <c r="E27" s="3" t="inlineStr">
        <is>
          <t>curated</t>
        </is>
      </c>
      <c r="F27" s="3" t="inlineStr">
        <is>
          <t>KARAKATWAS[Mercury, Ketu: qualities, signifies] + PLANET_PROFILE[Mercury, Ketu: Nature]</t>
        </is>
      </c>
    </row>
    <row r="28" ht="43" customHeight="1">
      <c r="A28" s="3" t="inlineStr">
        <is>
          <t>Jupiter</t>
        </is>
      </c>
      <c r="B28" s="3" t="inlineStr">
        <is>
          <t>Venus</t>
        </is>
      </c>
      <c r="C28" s="3" t="inlineStr">
        <is>
          <t>Jupiter is wisdom and the guru; Venus is charm and refinement. Being the two great benefics, they combine knowledge and culture: a refined, prosperous, generous nature with artistic and spiritual sense; moderation guards against indulgence.</t>
        </is>
      </c>
      <c r="D28" s="3" t="inlineStr">
        <is>
          <t>When Jupiter and Venus look at each other, wisdom and charm support one another: harmonious relationships, comfort, good teachers and an appreciation of culture.</t>
        </is>
      </c>
      <c r="E28" s="3" t="inlineStr">
        <is>
          <t>curated</t>
        </is>
      </c>
      <c r="F28" s="3" t="inlineStr">
        <is>
          <t>KARAKATWAS[Jupiter, Venus: qualities, signifies] + PLANET_PROFILE[Jupiter, Venus: Nature]</t>
        </is>
      </c>
    </row>
    <row r="29" ht="43" customHeight="1">
      <c r="A29" s="3" t="inlineStr">
        <is>
          <t>Jupiter</t>
        </is>
      </c>
      <c r="B29" s="3" t="inlineStr">
        <is>
          <t>Saturn</t>
        </is>
      </c>
      <c r="C29" s="3" t="inlineStr">
        <is>
          <t>Jupiter is wisdom and expansion; Saturn is discipline and restraint. Together they balance growth and caution, giving a practical, wise and patient person who builds slowly and steadily; delays are followed by lasting success.</t>
        </is>
      </c>
      <c r="D29" s="3" t="inlineStr">
        <is>
          <t>When Jupiter and Saturn look at each other, expansion meets structure: sound judgement, responsibility and a methodical path to wisdom and security.</t>
        </is>
      </c>
      <c r="E29" s="3" t="inlineStr">
        <is>
          <t>curated</t>
        </is>
      </c>
      <c r="F29" s="3" t="inlineStr">
        <is>
          <t>KARAKATWAS[Jupiter, Saturn: qualities, signifies] + PLANET_PROFILE[Jupiter, Saturn: Nature]</t>
        </is>
      </c>
    </row>
    <row r="30" ht="43" customHeight="1">
      <c r="A30" s="3" t="inlineStr">
        <is>
          <t>Jupiter</t>
        </is>
      </c>
      <c r="B30" s="3" t="inlineStr">
        <is>
          <t>Rahu</t>
        </is>
      </c>
      <c r="C30" s="3" t="inlineStr">
        <is>
          <t>Jupiter is wisdom and the guru; Rahu is obsession and unconventionality. Together they can give an unorthodox or foreign-influenced path of belief, big ambitions and doubt about teachers; ethics need care.</t>
        </is>
      </c>
      <c r="D30" s="3" t="inlineStr">
        <is>
          <t>When Jupiter and Rahu look at each other, wisdom meets amplification: an adventurous, boundary-pushing mind, with the need to guard against exaggeration and misplaced faith.</t>
        </is>
      </c>
      <c r="E30" s="3" t="inlineStr">
        <is>
          <t>curated</t>
        </is>
      </c>
      <c r="F30" s="3" t="inlineStr">
        <is>
          <t>KARAKATWAS[Jupiter, Rahu: qualities, signifies] + PLANET_PROFILE[Jupiter, Rahu: Nature]</t>
        </is>
      </c>
    </row>
    <row r="31" ht="43" customHeight="1">
      <c r="A31" s="3" t="inlineStr">
        <is>
          <t>Jupiter</t>
        </is>
      </c>
      <c r="B31" s="3" t="inlineStr">
        <is>
          <t>Ketu</t>
        </is>
      </c>
      <c r="C31" s="3" t="inlineStr">
        <is>
          <t>Jupiter is wisdom; Ketu is detachment and moksha. Together they give a spiritual, philosophical mind with an interest in mysticism, meditation and the inner life; worldly ambition may be low.</t>
        </is>
      </c>
      <c r="D31" s="3" t="inlineStr">
        <is>
          <t>When Jupiter and Ketu look at each other, wisdom is turned inward: intuition, spiritual insight and detachment from rituals or conventional teachers.</t>
        </is>
      </c>
      <c r="E31" s="3" t="inlineStr">
        <is>
          <t>curated</t>
        </is>
      </c>
      <c r="F31" s="3" t="inlineStr">
        <is>
          <t>KARAKATWAS[Jupiter, Ketu: qualities, signifies] + PLANET_PROFILE[Jupiter, Ketu: Nature]</t>
        </is>
      </c>
    </row>
    <row r="32" ht="43" customHeight="1">
      <c r="A32" s="3" t="inlineStr">
        <is>
          <t>Venus</t>
        </is>
      </c>
      <c r="B32" s="3" t="inlineStr">
        <is>
          <t>Saturn</t>
        </is>
      </c>
      <c r="C32" s="3" t="inlineStr">
        <is>
          <t>Venus is charm, love and comfort; Saturn is discipline and delay. Together they give a serious, loyal and mature approach to love and the arts; relationships can be delayed or cooler, but are lasting, and discipline improves artistic work.</t>
        </is>
      </c>
      <c r="D32" s="3" t="inlineStr">
        <is>
          <t>When Venus and Saturn look at each other, pleasure meets restraint: delays or sobriety in love and comfort, with steady commitment and craftsmanship.</t>
        </is>
      </c>
      <c r="E32" s="3" t="inlineStr">
        <is>
          <t>curated</t>
        </is>
      </c>
      <c r="F32" s="3" t="inlineStr">
        <is>
          <t>KARAKATWAS[Venus, Saturn: qualities, signifies] + PLANET_PROFILE[Venus, Saturn: Nature]</t>
        </is>
      </c>
    </row>
    <row r="33" ht="43" customHeight="1">
      <c r="A33" s="3" t="inlineStr">
        <is>
          <t>Venus</t>
        </is>
      </c>
      <c r="B33" s="3" t="inlineStr">
        <is>
          <t>Rahu</t>
        </is>
      </c>
      <c r="C33" s="3" t="inlineStr">
        <is>
          <t>Venus is love and luxury; Rahu is obsession and amplification. Together desires for pleasure, status and glamour are magnified: an unconventional, magnetic romantic life, interest in fashion, media and foreign culture, with a tendency to overindulge.</t>
        </is>
      </c>
      <c r="D33" s="3" t="inlineStr">
        <is>
          <t>When Venus and Rahu look at each other, charm and obsession combine: strong attractions, ambition in the arts and a pull towards luxury, with care needed in relationships.</t>
        </is>
      </c>
      <c r="E33" s="3" t="inlineStr">
        <is>
          <t>curated</t>
        </is>
      </c>
      <c r="F33" s="3" t="inlineStr">
        <is>
          <t>KARAKATWAS[Venus, Rahu: qualities, signifies] + PLANET_PROFILE[Venus, Rahu: Nature]</t>
        </is>
      </c>
    </row>
    <row r="34" ht="43" customHeight="1">
      <c r="A34" s="3" t="inlineStr">
        <is>
          <t>Venus</t>
        </is>
      </c>
      <c r="B34" s="3" t="inlineStr">
        <is>
          <t>Ketu</t>
        </is>
      </c>
      <c r="C34" s="3" t="inlineStr">
        <is>
          <t>Venus is love and comfort; Ketu is detachment. Together the pleasure drive is turned towards the spiritual: refined taste with disinterest in worldly comfort, and relationships that carry a past-life or karmic tone.</t>
        </is>
      </c>
      <c r="D34" s="3" t="inlineStr">
        <is>
          <t>When Venus and Ketu look at each other, love meets detachment: a spiritual, introspective approach to relationships, with sudden changes in love life possible.</t>
        </is>
      </c>
      <c r="E34" s="3" t="inlineStr">
        <is>
          <t>curated</t>
        </is>
      </c>
      <c r="F34" s="3" t="inlineStr">
        <is>
          <t>KARAKATWAS[Venus, Ketu: qualities, signifies] + PLANET_PROFILE[Venus, Ketu: Nature]</t>
        </is>
      </c>
    </row>
    <row r="35" ht="43" customHeight="1">
      <c r="A35" s="3" t="inlineStr">
        <is>
          <t>Saturn</t>
        </is>
      </c>
      <c r="B35" s="3" t="inlineStr">
        <is>
          <t>Rahu</t>
        </is>
      </c>
      <c r="C35" s="3" t="inlineStr">
        <is>
          <t>Saturn is discipline and delay; Rahu is obsession and amplification. Together they intensify worry, ambition and the drive for worldly success through hard work; the person can be driven, unconventional and burdened by fears.</t>
        </is>
      </c>
      <c r="D35" s="3" t="inlineStr">
        <is>
          <t>When Saturn and Rahu look at each other, restraint meets obsession: heavy responsibilities and anxieties, with great determination and the need for patient, ethical effort.</t>
        </is>
      </c>
      <c r="E35" s="3" t="inlineStr">
        <is>
          <t>curated</t>
        </is>
      </c>
      <c r="F35" s="3" t="inlineStr">
        <is>
          <t>KARAKATWAS[Saturn, Rahu: qualities, signifies] + PLANET_PROFILE[Saturn, Rahu: Nature]</t>
        </is>
      </c>
    </row>
    <row r="36" ht="43" customHeight="1">
      <c r="A36" s="3" t="inlineStr">
        <is>
          <t>Saturn</t>
        </is>
      </c>
      <c r="B36" s="3" t="inlineStr">
        <is>
          <t>Ketu</t>
        </is>
      </c>
      <c r="C36" s="3" t="inlineStr">
        <is>
          <t>Saturn is discipline and detachment; Ketu is mysticism and severance. Together they give a deeply austere, spiritual and reserved temperament, interested in solitude and renunciation; coldness and isolation are the caution.</t>
        </is>
      </c>
      <c r="D36" s="3" t="inlineStr">
        <is>
          <t>When Saturn and Ketu look at each other, detachment is doubled: a serious, solitary and philosophical bent, with endurance and an interest in karma and moksha.</t>
        </is>
      </c>
      <c r="E36" s="3" t="inlineStr">
        <is>
          <t>curated</t>
        </is>
      </c>
      <c r="F36" s="3" t="inlineStr">
        <is>
          <t>KARAKATWAS[Saturn, Ketu: qualities, signifies] + PLANET_PROFILE[Saturn, Ketu: Nature]</t>
        </is>
      </c>
    </row>
    <row r="37" ht="43" customHeight="1">
      <c r="A37" s="3" t="inlineStr">
        <is>
          <t>Rahu</t>
        </is>
      </c>
      <c r="B37" s="3" t="inlineStr">
        <is>
          <t>Ketu</t>
        </is>
      </c>
      <c r="C37" s="3" t="inlineStr">
        <is>
          <t>Rahu and Ketu are always 180° apart, so they never occupy the same sign; the nodal axis itself is the pairing — worldly desire on one end and detachment on the other.</t>
        </is>
      </c>
      <c r="D37" s="3" t="inlineStr">
        <is>
          <t>Rahu and Ketu sit opposite each other on one axis: the houses they occupy pull between obsession and release, and the life themes in those two houses are tied together in this life.</t>
        </is>
      </c>
      <c r="E37" s="3" t="inlineStr">
        <is>
          <t>curated</t>
        </is>
      </c>
      <c r="F37" s="3" t="inlineStr">
        <is>
          <t>KARAKATWAS[Rahu, Ketu: qualities, signifies] + PLANET_PROFILE[Rahu, Ketu: Nature]</t>
        </is>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E2"/>
  <sheetViews>
    <sheetView zoomScaleNormal="100" workbookViewId="0">
      <pane ySplit="1" topLeftCell="A2" activePane="bottomLeft" state="frozen"/>
      <selection pane="bottomLeft" activeCell="A1" sqref="A1"/>
    </sheetView>
  </sheetViews>
  <sheetFormatPr baseColWidth="8" defaultColWidth="8.703125" defaultRowHeight="14.35"/>
  <cols>
    <col width="16" customWidth="1" min="1" max="2"/>
    <col width="70" customWidth="1" min="3" max="3"/>
    <col width="16" customWidth="1" min="4" max="4"/>
    <col width="70" customWidth="1" min="5" max="5"/>
  </cols>
  <sheetData>
    <row r="1">
      <c r="A1" s="10" t="inlineStr">
        <is>
          <t>LordOf</t>
        </is>
      </c>
      <c r="B1" s="10" t="inlineStr">
        <is>
          <t>SitsIn</t>
        </is>
      </c>
      <c r="C1" s="10" t="inlineStr">
        <is>
          <t>Text</t>
        </is>
      </c>
      <c r="D1" s="10" t="inlineStr">
        <is>
          <t>Status</t>
        </is>
      </c>
      <c r="E1" s="10" t="inlineStr">
        <is>
          <t>Source</t>
        </is>
      </c>
    </row>
    <row r="2" ht="100.35" customHeight="1">
      <c r="A2" s="3" t="n">
        <v>2</v>
      </c>
      <c r="B2" s="3" t="n">
        <v>7</v>
      </c>
      <c r="C2" s="3" t="inlineStr">
        <is>
          <t>Blend the karakatwas of the two bhavas. The 2nd talks about your family, your wealth, your speech, food; the 7th is your spouse or your business. So the second lord in the seventh means you are in your family business — second is family, seventh is business, so you might be continuing your family business. Or the 2nd is your income, your source of income, and the 7th is your business, so your source of income might be your business. The 7th is also the house of the spouse, so you might be getting income from your spouse.</t>
        </is>
      </c>
      <c r="D2" s="3" t="inlineStr">
        <is>
          <t>taught</t>
        </is>
      </c>
      <c r="E2" s="3" t="inlineStr">
        <is>
          <t>Recording, Session 23 (18:56–18:57): second lord in the seventh house</t>
        </is>
      </c>
    </row>
  </sheetData>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E2"/>
  <sheetViews>
    <sheetView zoomScaleNormal="100" workbookViewId="0">
      <pane ySplit="1" topLeftCell="A2" activePane="bottomLeft" state="frozen"/>
      <selection pane="bottomLeft" activeCell="A1" sqref="A1"/>
    </sheetView>
  </sheetViews>
  <sheetFormatPr baseColWidth="8" defaultColWidth="8.703125" defaultRowHeight="14.35"/>
  <cols>
    <col width="16" customWidth="1" min="1" max="2"/>
    <col width="70" customWidth="1" min="3" max="3"/>
    <col width="16" customWidth="1" min="4" max="4"/>
    <col width="70" customWidth="1" min="5" max="5"/>
  </cols>
  <sheetData>
    <row r="1">
      <c r="A1" s="10" t="inlineStr">
        <is>
          <t>Planet</t>
        </is>
      </c>
      <c r="B1" s="10" t="inlineStr">
        <is>
          <t>Rashi</t>
        </is>
      </c>
      <c r="C1" s="10" t="inlineStr">
        <is>
          <t>Text</t>
        </is>
      </c>
      <c r="D1" s="10" t="inlineStr">
        <is>
          <t>Status</t>
        </is>
      </c>
      <c r="E1" s="10" t="inlineStr">
        <is>
          <t>Source</t>
        </is>
      </c>
    </row>
    <row r="2" ht="57.35" customHeight="1">
      <c r="A2" s="3" t="inlineStr">
        <is>
          <t>Sun</t>
        </is>
      </c>
      <c r="B2" s="3" t="n">
        <v>1</v>
      </c>
      <c r="C2" s="3" t="inlineStr">
        <is>
          <t>Mesha is an Agni tatwa rashi; it depicts the eastern direction, it is Kshatriya varna, it talks about courage and it depicts hilly areas. When the Sun is in Mesha the Sun becomes exalted. The Sun is name and fame, brightness, authority, leadership — the Sun is strong, so he is able to give his full potential when he is posted in Mesha rashi.</t>
        </is>
      </c>
      <c r="D2" s="3" t="inlineStr">
        <is>
          <t>taught</t>
        </is>
      </c>
      <c r="E2" s="3" t="inlineStr">
        <is>
          <t>Recording, Session 23 (18:58): Sun in Mesha rashi</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2026-10-08T22:46:55Z</dcterms:created>
  <dcterms:modified xsi:type="dcterms:W3CDTF">2026-10-08T22:46:55Z</dcterms:modified>
  <cp:lastModifiedBy>girish BP</cp:lastModifiedBy>
</cp:coreProperties>
</file>