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4" autoFilterDateGrouping="1"/>
  </bookViews>
  <sheets>
    <sheet name="Input" sheetId="1" state="visible" r:id="rId1"/>
    <sheet name="Analysis" sheetId="2" state="visible" r:id="rId2"/>
    <sheet name="Reference Data" sheetId="3" state="visible" r:id="rId3"/>
    <sheet name="Planet Dignity" sheetId="4" state="visible" r:id="rId4"/>
    <sheet name="Planet Characteristics" sheetId="5" state="visible" r:id="rId5"/>
    <sheet name="Guide &amp; Explanations" sheetId="6" state="visible" r:id="rId6"/>
    <sheet name="Sheet1" sheetId="7" state="visible" r:id="rId7"/>
    <sheet name="Explanations" sheetId="8" state="visible" r:id="rId8"/>
    <sheet name="Exhalted or Debilitated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2">
    <font>
      <name val="Aptos Narrow"/>
      <family val="2"/>
      <color theme="1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1B4F72"/>
      <sz val="16"/>
      <scheme val="minor"/>
    </font>
    <font>
      <name val="Aptos Narrow"/>
      <family val="2"/>
      <b val="1"/>
      <color rgb="FFFFFFFF"/>
      <sz val="13"/>
      <scheme val="minor"/>
    </font>
    <font>
      <name val="Aptos Narrow"/>
      <family val="2"/>
      <color rgb="FF0000FF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b val="1"/>
      <color rgb="FF566573"/>
      <sz val="11"/>
      <scheme val="minor"/>
    </font>
    <font>
      <name val="Aptos Narrow"/>
      <family val="2"/>
      <color rgb="FF566573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i val="1"/>
      <color rgb="FF666666"/>
      <sz val="11"/>
      <scheme val="minor"/>
    </font>
    <font>
      <name val="Calibri"/>
      <b val="1"/>
      <color rgb="FF6B1D2B"/>
      <sz val="12"/>
    </font>
    <font>
      <name val="Calibri"/>
      <b val="1"/>
      <color rgb="FFFFFFFF"/>
      <sz val="14"/>
      <u val="single"/>
    </font>
    <font>
      <name val="Calibri"/>
      <i val="1"/>
      <color rgb="FF6B1D2B"/>
      <sz val="10"/>
    </font>
  </fonts>
  <fills count="17">
    <fill>
      <patternFill/>
    </fill>
    <fill>
      <patternFill patternType="gray125"/>
    </fill>
    <fill>
      <patternFill patternType="solid">
        <fgColor rgb="FFD4E6F1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D5D8DC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F2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732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BDC3C7"/>
      </top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rgb="FFBDC3C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rgb="FFBDC3C7"/>
      </top>
      <bottom style="thin">
        <color auto="1"/>
      </bottom>
      <diagonal/>
    </border>
    <border>
      <left/>
      <right style="thin">
        <color auto="1"/>
      </right>
      <top/>
      <bottom style="thin">
        <color rgb="FFD5D8DC"/>
      </bottom>
      <diagonal/>
    </border>
    <border>
      <left style="thin">
        <color auto="1"/>
      </left>
      <right/>
      <top/>
      <bottom style="thin">
        <color rgb="FFD5D8DC"/>
      </bottom>
      <diagonal/>
    </border>
    <border>
      <left/>
      <right style="thin">
        <color auto="1"/>
      </right>
      <top style="thin">
        <color rgb="FFD5D8DC"/>
      </top>
      <bottom style="thin">
        <color rgb="FFD5D8DC"/>
      </bottom>
      <diagonal/>
    </border>
    <border>
      <left style="thin">
        <color auto="1"/>
      </left>
      <right/>
      <top style="thin">
        <color rgb="FFD5D8DC"/>
      </top>
      <bottom style="thin">
        <color rgb="FFD5D8DC"/>
      </bottom>
      <diagonal/>
    </border>
    <border>
      <left/>
      <right style="thin">
        <color auto="1"/>
      </right>
      <top style="thin">
        <color rgb="FFD5D8DC"/>
      </top>
      <bottom/>
      <diagonal/>
    </border>
    <border>
      <left style="thin">
        <color auto="1"/>
      </left>
      <right/>
      <top style="thin">
        <color rgb="FFD5D8D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BDC3C7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BDC3C7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D5D8DC"/>
      </top>
      <bottom/>
      <diagonal/>
    </border>
    <border>
      <left/>
      <right style="thin">
        <color auto="1"/>
      </right>
      <top/>
      <bottom/>
      <diagonal/>
    </border>
    <border>
      <left style="medium">
        <color rgb="FF6B1D2B"/>
      </left>
      <right style="medium">
        <color rgb="FF6B1D2B"/>
      </right>
      <top style="medium">
        <color rgb="FF6B1D2B"/>
      </top>
      <bottom style="medium">
        <color rgb="FF6B1D2B"/>
      </bottom>
    </border>
    <border>
      <left/>
      <right/>
      <top style="medium">
        <color rgb="FF6B1D2B"/>
      </top>
      <bottom/>
      <diagonal/>
    </border>
    <border>
      <left style="medium">
        <color rgb="FF6B1D2B"/>
      </left>
      <right/>
      <top/>
      <bottom/>
      <diagonal/>
    </border>
    <border>
      <left/>
      <right style="medium">
        <color rgb="FF6B1D2B"/>
      </right>
      <top style="medium">
        <color rgb="FF6B1D2B"/>
      </top>
      <bottom/>
      <diagonal/>
    </border>
    <border>
      <left/>
      <right style="medium">
        <color rgb="FF6B1D2B"/>
      </right>
      <top/>
      <bottom/>
      <diagonal/>
    </border>
    <border>
      <left style="medium">
        <color rgb="FF6B1D2B"/>
      </left>
      <right/>
      <top/>
      <bottom style="medium">
        <color rgb="FF6B1D2B"/>
      </bottom>
      <diagonal/>
    </border>
    <border>
      <left/>
      <right/>
      <top/>
      <bottom style="medium">
        <color rgb="FF6B1D2B"/>
      </bottom>
      <diagonal/>
    </border>
    <border>
      <left/>
      <right style="medium">
        <color rgb="FF6B1D2B"/>
      </right>
      <top/>
      <bottom style="medium">
        <color rgb="FF6B1D2B"/>
      </bottom>
      <diagonal/>
    </border>
  </borders>
  <cellStyleXfs count="1">
    <xf numFmtId="0" fontId="14" fillId="0" borderId="0"/>
  </cellStyleXfs>
  <cellXfs count="9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3" fillId="6" borderId="0" pivotButton="0" quotePrefix="0" xfId="0"/>
    <xf numFmtId="0" fontId="0" fillId="0" borderId="1" pivotButton="0" quotePrefix="0" xfId="0"/>
    <xf numFmtId="0" fontId="3" fillId="6" borderId="1" applyAlignment="1" pivotButton="0" quotePrefix="0" xfId="0">
      <alignment horizontal="center"/>
    </xf>
    <xf numFmtId="0" fontId="3" fillId="4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6" fillId="5" borderId="1" pivotButton="0" quotePrefix="0" xfId="0"/>
    <xf numFmtId="164" fontId="6" fillId="5" borderId="1" pivotButton="0" quotePrefix="0" xfId="0"/>
    <xf numFmtId="0" fontId="3" fillId="6" borderId="0" applyAlignment="1" pivotButton="0" quotePrefix="0" xfId="0">
      <alignment wrapText="1"/>
    </xf>
    <xf numFmtId="0" fontId="0" fillId="0" borderId="3" pivotButton="0" quotePrefix="0" xfId="0"/>
    <xf numFmtId="0" fontId="0" fillId="0" borderId="4" applyAlignment="1" pivotButton="0" quotePrefix="0" xfId="0">
      <alignment wrapText="1"/>
    </xf>
    <xf numFmtId="0" fontId="3" fillId="6" borderId="5" pivotButton="0" quotePrefix="0" xfId="0"/>
    <xf numFmtId="0" fontId="0" fillId="0" borderId="6" applyAlignment="1" pivotButton="0" quotePrefix="0" xfId="0">
      <alignment wrapText="1"/>
    </xf>
    <xf numFmtId="0" fontId="3" fillId="0" borderId="3" pivotButton="0" quotePrefix="0" xfId="0"/>
    <xf numFmtId="0" fontId="3" fillId="0" borderId="6" pivotButton="0" quotePrefix="0" xfId="0"/>
    <xf numFmtId="0" fontId="0" fillId="0" borderId="3" applyAlignment="1" pivotButton="0" quotePrefix="0" xfId="0">
      <alignment wrapText="1"/>
    </xf>
    <xf numFmtId="0" fontId="0" fillId="0" borderId="4" pivotButton="0" quotePrefix="0" xfId="0"/>
    <xf numFmtId="0" fontId="0" fillId="0" borderId="6" pivotButton="0" quotePrefix="0" xfId="0"/>
    <xf numFmtId="0" fontId="3" fillId="6" borderId="5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6" borderId="1" applyAlignment="1" pivotButton="0" quotePrefix="0" xfId="0">
      <alignment horizontal="center" wrapText="1"/>
    </xf>
    <xf numFmtId="0" fontId="3" fillId="0" borderId="9" pivotButton="0" quotePrefix="0" xfId="0"/>
    <xf numFmtId="0" fontId="0" fillId="0" borderId="10" applyAlignment="1" pivotButton="0" quotePrefix="0" xfId="0">
      <alignment wrapText="1"/>
    </xf>
    <xf numFmtId="0" fontId="3" fillId="0" borderId="11" pivotButton="0" quotePrefix="0" xfId="0"/>
    <xf numFmtId="0" fontId="0" fillId="0" borderId="12" applyAlignment="1" pivotButton="0" quotePrefix="0" xfId="0">
      <alignment wrapText="1"/>
    </xf>
    <xf numFmtId="0" fontId="7" fillId="3" borderId="1" applyAlignment="1" pivotButton="0" quotePrefix="0" xfId="0">
      <alignment horizontal="center"/>
    </xf>
    <xf numFmtId="0" fontId="0" fillId="10" borderId="1" pivotButton="0" quotePrefix="0" xfId="0"/>
    <xf numFmtId="0" fontId="0" fillId="10" borderId="1" applyAlignment="1" pivotButton="0" quotePrefix="0" xfId="0">
      <alignment wrapText="1"/>
    </xf>
    <xf numFmtId="0" fontId="1" fillId="0" borderId="1" pivotButton="0" quotePrefix="0" xfId="0"/>
    <xf numFmtId="0" fontId="2" fillId="0" borderId="1" pivotButton="0" quotePrefix="0" xfId="0"/>
    <xf numFmtId="20" fontId="6" fillId="5" borderId="1" pivotButton="0" quotePrefix="0" xfId="0"/>
    <xf numFmtId="0" fontId="12" fillId="6" borderId="0" applyAlignment="1" pivotButton="0" quotePrefix="0" xfId="0">
      <alignment horizontal="center"/>
    </xf>
    <xf numFmtId="0" fontId="12" fillId="6" borderId="2" applyAlignment="1" pivotButton="0" quotePrefix="0" xfId="0">
      <alignment horizontal="center"/>
    </xf>
    <xf numFmtId="0" fontId="3" fillId="4" borderId="16" pivotButton="0" quotePrefix="0" xfId="0"/>
    <xf numFmtId="0" fontId="6" fillId="5" borderId="16" applyAlignment="1" pivotButton="0" quotePrefix="0" xfId="0">
      <alignment horizontal="center"/>
    </xf>
    <xf numFmtId="0" fontId="6" fillId="5" borderId="17" applyAlignment="1" pivotButton="0" quotePrefix="0" xfId="0">
      <alignment horizontal="center"/>
    </xf>
    <xf numFmtId="0" fontId="6" fillId="5" borderId="13" applyAlignment="1" pivotButton="0" quotePrefix="0" xfId="0">
      <alignment horizontal="center"/>
    </xf>
    <xf numFmtId="0" fontId="3" fillId="7" borderId="16" pivotButton="0" quotePrefix="0" xfId="0"/>
    <xf numFmtId="0" fontId="6" fillId="5" borderId="14" applyAlignment="1" pivotButton="0" quotePrefix="0" xfId="0">
      <alignment horizontal="center"/>
    </xf>
    <xf numFmtId="0" fontId="3" fillId="8" borderId="16" pivotButton="0" quotePrefix="0" xfId="0"/>
    <xf numFmtId="0" fontId="3" fillId="8" borderId="17" pivotButton="0" quotePrefix="0" xfId="0"/>
    <xf numFmtId="0" fontId="13" fillId="11" borderId="16" applyAlignment="1" pivotButton="0" quotePrefix="0" xfId="0">
      <alignment horizontal="center"/>
    </xf>
    <xf numFmtId="0" fontId="13" fillId="11" borderId="17" applyAlignment="1" pivotButton="0" quotePrefix="0" xfId="0">
      <alignment horizontal="center"/>
    </xf>
    <xf numFmtId="0" fontId="13" fillId="11" borderId="13" applyAlignment="1" pivotButton="0" quotePrefix="0" xfId="0">
      <alignment horizontal="center"/>
    </xf>
    <xf numFmtId="0" fontId="13" fillId="11" borderId="14" applyAlignment="1" pivotButton="0" quotePrefix="0" xfId="0">
      <alignment horizontal="center"/>
    </xf>
    <xf numFmtId="0" fontId="10" fillId="11" borderId="0" pivotButton="0" quotePrefix="0" xfId="0"/>
    <xf numFmtId="0" fontId="11" fillId="11" borderId="0" pivotButton="0" quotePrefix="0" xfId="0"/>
    <xf numFmtId="0" fontId="3" fillId="0" borderId="4" pivotButton="0" quotePrefix="0" xfId="0"/>
    <xf numFmtId="0" fontId="0" fillId="11" borderId="16" pivotButton="0" quotePrefix="0" xfId="0"/>
    <xf numFmtId="0" fontId="3" fillId="11" borderId="16" pivotButton="0" quotePrefix="0" xfId="0"/>
    <xf numFmtId="0" fontId="0" fillId="11" borderId="14" pivotButton="0" quotePrefix="0" xfId="0"/>
    <xf numFmtId="0" fontId="14" fillId="11" borderId="22" pivotButton="0" quotePrefix="0" xfId="0"/>
    <xf numFmtId="0" fontId="0" fillId="11" borderId="18" pivotButton="0" quotePrefix="0" xfId="0"/>
    <xf numFmtId="0" fontId="0" fillId="11" borderId="18" applyAlignment="1" pivotButton="0" quotePrefix="0" xfId="0">
      <alignment wrapText="1"/>
    </xf>
    <xf numFmtId="0" fontId="3" fillId="11" borderId="21" pivotButton="0" quotePrefix="0" xfId="0"/>
    <xf numFmtId="0" fontId="0" fillId="11" borderId="20" pivotButton="0" quotePrefix="0" xfId="0"/>
    <xf numFmtId="0" fontId="0" fillId="11" borderId="15" applyAlignment="1" pivotButton="0" quotePrefix="0" xfId="0">
      <alignment wrapText="1"/>
    </xf>
    <xf numFmtId="0" fontId="0" fillId="11" borderId="19" applyAlignment="1" pivotButton="0" quotePrefix="0" xfId="0">
      <alignment wrapText="1"/>
    </xf>
    <xf numFmtId="0" fontId="14" fillId="11" borderId="0" applyAlignment="1" pivotButton="0" quotePrefix="0" xfId="0">
      <alignment wrapText="1"/>
    </xf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9" borderId="0" applyAlignment="1" pivotButton="0" quotePrefix="0" xfId="0">
      <alignment horizontal="left"/>
    </xf>
    <xf numFmtId="0" fontId="5" fillId="9" borderId="0" applyAlignment="1" pivotButton="0" quotePrefix="0" xfId="0">
      <alignment horizontal="left" wrapText="1"/>
    </xf>
    <xf numFmtId="0" fontId="8" fillId="4" borderId="0" applyAlignment="1" pivotButton="0" quotePrefix="0" xfId="0">
      <alignment horizontal="center"/>
    </xf>
    <xf numFmtId="0" fontId="9" fillId="9" borderId="9" pivotButton="0" quotePrefix="0" xfId="0"/>
    <xf numFmtId="0" fontId="9" fillId="9" borderId="10" pivotButton="0" quotePrefix="0" xfId="0"/>
    <xf numFmtId="0" fontId="4" fillId="2" borderId="0" pivotButton="0" quotePrefix="0" xfId="0"/>
    <xf numFmtId="0" fontId="9" fillId="9" borderId="7" pivotButton="0" quotePrefix="0" xfId="0"/>
    <xf numFmtId="0" fontId="9" fillId="9" borderId="8" pivotButton="0" quotePrefix="0" xfId="0"/>
    <xf numFmtId="0" fontId="15" fillId="12" borderId="0" applyAlignment="1" pivotButton="0" quotePrefix="0" xfId="0">
      <alignment horizontal="left"/>
    </xf>
    <xf numFmtId="0" fontId="16" fillId="13" borderId="0" pivotButton="0" quotePrefix="0" xfId="0"/>
    <xf numFmtId="0" fontId="8" fillId="0" borderId="0" pivotButton="0" quotePrefix="0" xfId="0"/>
    <xf numFmtId="0" fontId="17" fillId="0" borderId="0" pivotButton="0" quotePrefix="0" xfId="0"/>
    <xf numFmtId="0" fontId="3" fillId="14" borderId="0" pivotButton="0" quotePrefix="0" xfId="0"/>
    <xf numFmtId="0" fontId="7" fillId="14" borderId="23" applyAlignment="1" pivotButton="0" quotePrefix="0" xfId="0">
      <alignment horizontal="center"/>
    </xf>
    <xf numFmtId="0" fontId="0" fillId="0" borderId="23" pivotButton="0" quotePrefix="0" xfId="0"/>
    <xf numFmtId="0" fontId="16" fillId="12" borderId="0" pivotButton="0" quotePrefix="0" xfId="0"/>
    <xf numFmtId="9" fontId="0" fillId="0" borderId="0" pivotButton="0" quotePrefix="0" xfId="0"/>
    <xf numFmtId="0" fontId="15" fillId="12" borderId="0" pivotButton="0" quotePrefix="0" xfId="0"/>
    <xf numFmtId="0" fontId="18" fillId="0" borderId="0" pivotButton="0" quotePrefix="0" xfId="0"/>
    <xf numFmtId="0" fontId="3" fillId="13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7" fillId="15" borderId="0" applyAlignment="1" pivotButton="0" quotePrefix="0" xfId="0">
      <alignment vertical="center" wrapText="1"/>
    </xf>
    <xf numFmtId="0" fontId="7" fillId="15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/>
    </xf>
    <xf numFmtId="0" fontId="20" fillId="16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9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21" fillId="0" borderId="0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9" pivotButton="0" quotePrefix="0" xfId="0"/>
  </cellXfs>
  <cellStyles count="1">
    <cellStyle name="Normal" xfId="0" builtinId="0"/>
  </cellStyles>
  <dxfs count="3">
    <dxf>
      <font>
        <color rgb="FF003399"/>
      </font>
      <fill>
        <patternFill patternType="solid">
          <fgColor indexed="64"/>
          <bgColor rgb="FFB4C6E7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girishbp-wq.github.io/Vedic_horoscope/publish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topLeftCell="A3" workbookViewId="0">
      <selection activeCell="G25" sqref="G25"/>
    </sheetView>
  </sheetViews>
  <sheetFormatPr baseColWidth="8" defaultRowHeight="15"/>
  <cols>
    <col width="29.5703125" customWidth="1" min="1" max="1"/>
    <col width="32.42578125" customWidth="1" min="2" max="2"/>
    <col width="12.42578125" customWidth="1" min="3" max="4"/>
    <col width="16.140625" customWidth="1" min="5" max="6"/>
    <col width="22.85546875" customWidth="1" min="7" max="7"/>
  </cols>
  <sheetData>
    <row r="1" ht="21" customHeight="1">
      <c r="A1" s="62" t="inlineStr">
        <is>
          <t>🪐 VEDIC HOROSCOPE ANALYSIS TOOL</t>
        </is>
      </c>
    </row>
    <row r="3" ht="17.25" customHeight="1">
      <c r="A3" s="63" t="inlineStr">
        <is>
          <t>BIRTH DETAILS</t>
        </is>
      </c>
    </row>
    <row r="4">
      <c r="A4" s="6" t="inlineStr">
        <is>
          <t>Name</t>
        </is>
      </c>
      <c r="B4" s="9" t="inlineStr">
        <is>
          <t>Girish Belur</t>
        </is>
      </c>
    </row>
    <row r="5">
      <c r="A5" s="6" t="inlineStr">
        <is>
          <t>Date of Birth</t>
        </is>
      </c>
      <c r="B5" s="10" t="n">
        <v>24953</v>
      </c>
    </row>
    <row r="6">
      <c r="A6" s="6" t="inlineStr">
        <is>
          <t>Time of Birth</t>
        </is>
      </c>
      <c r="B6" s="33" t="n">
        <v>0.6020833333333333</v>
      </c>
    </row>
    <row r="7">
      <c r="A7" s="6" t="inlineStr">
        <is>
          <t>Place of Birth</t>
        </is>
      </c>
      <c r="B7" s="9" t="inlineStr">
        <is>
          <t>Kadur</t>
        </is>
      </c>
    </row>
    <row r="8">
      <c r="A8" s="6" t="inlineStr">
        <is>
          <t>Gender</t>
        </is>
      </c>
      <c r="B8" s="9" t="inlineStr">
        <is>
          <t>Male</t>
        </is>
      </c>
    </row>
    <row r="10" ht="17.25" customHeight="1">
      <c r="A10" s="63" t="inlineStr">
        <is>
          <t>PLANET POSITIONS (Select Rashi from Dropdown)</t>
        </is>
      </c>
    </row>
    <row r="11">
      <c r="A11" s="35" t="inlineStr">
        <is>
          <t>Planet</t>
        </is>
      </c>
      <c r="B11" s="34" t="inlineStr">
        <is>
          <t>Rashi (Select ▼)</t>
        </is>
      </c>
      <c r="C11" s="34" t="inlineStr">
        <is>
          <t>Zodiac #</t>
        </is>
      </c>
      <c r="D11" s="34" t="inlineStr">
        <is>
          <t>House #</t>
        </is>
      </c>
      <c r="E11" s="34" t="inlineStr">
        <is>
          <t>Degree (0-30)</t>
        </is>
      </c>
      <c r="F11" s="34" t="inlineStr">
        <is>
          <t>Retrograde?</t>
        </is>
      </c>
      <c r="G11" s="34" t="inlineStr">
        <is>
          <t>Dignity</t>
        </is>
      </c>
    </row>
    <row r="12">
      <c r="A12" s="36" t="inlineStr">
        <is>
          <t>Lagna (Ascendant)</t>
        </is>
      </c>
      <c r="B12" s="37" t="inlineStr">
        <is>
          <t>Simha - Leo</t>
        </is>
      </c>
      <c r="C12" s="45">
        <f>IF(B12="","",MATCH(LEFT(B12,FIND(" - ",B12)-1),'Reference Data'!B$2:B$13,0))</f>
        <v/>
      </c>
      <c r="D12" s="44">
        <f>IF(C12="","",1)</f>
        <v/>
      </c>
      <c r="E12" s="38" t="n">
        <v>11.15</v>
      </c>
      <c r="F12" s="38" t="n"/>
      <c r="G12" s="47">
        <f>IF(B12="","","—")</f>
        <v/>
      </c>
    </row>
    <row r="13">
      <c r="A13" s="40" t="inlineStr">
        <is>
          <t>Sun (Surya)</t>
        </is>
      </c>
      <c r="B13" s="41" t="inlineStr">
        <is>
          <t>Mesha - Aries</t>
        </is>
      </c>
      <c r="C13" s="45">
        <f>IF(B13="","",MATCH(LEFT(B13,FIND(" - ",B13)-1),'Reference Data'!B$2:B$13,0))</f>
        <v/>
      </c>
      <c r="D13" s="47">
        <f>IF(C13="","",MOD(C13-$C$12,12)+1)</f>
        <v/>
      </c>
      <c r="E13" s="38" t="n">
        <v>11.48</v>
      </c>
      <c r="F13" s="38" t="n"/>
      <c r="G13" s="47">
        <f t="array" ref="G13">IF(B13="","",IF(ISNUMBER(SEARCH("Sun",INDEX('Planet Dignity'!$E$2:$E$13,C13))),"⬆ Exalted",IF(ISNUMBER(SEARCH("Sun",INDEX('Planet Dignity'!$F$2:$F$13,C13))),"⬇ Debilitated",IF(INDEX('Planet Dignity'!$C$2:$C$13,C13)="Sun","🏠 Own House",IF(INDEX('Planet Dignity'!$D$2:$D$13,C13)="Yes","MTR","—")))))</f>
        <v/>
      </c>
    </row>
    <row r="14">
      <c r="A14" s="40" t="inlineStr">
        <is>
          <t>Moon (Chandra)</t>
        </is>
      </c>
      <c r="B14" s="41" t="inlineStr">
        <is>
          <t>Meena - Pisces</t>
        </is>
      </c>
      <c r="C14" s="46">
        <f>IF(B14="","",MATCH(LEFT(B14,FIND(" - ",B14)-1),'Reference Data'!B$2:B$13,0))</f>
        <v/>
      </c>
      <c r="D14" s="47">
        <f>IF(C14="","",MOD(C14-$C$12,12)+1)</f>
        <v/>
      </c>
      <c r="E14" s="38" t="n">
        <v>16.56</v>
      </c>
      <c r="F14" s="38" t="n"/>
      <c r="G14" s="47">
        <f t="array" ref="G14">IF(B14="","",IF(ISNUMBER(SEARCH("Moon",INDEX('Planet Dignity'!$E$2:$E$13,C14))),"⬆ Exalted",IF(ISNUMBER(SEARCH("Moon",INDEX('Planet Dignity'!$F$2:$F$13,C14))),"⬇ Debilitated",IF(INDEX('Planet Dignity'!$C$2:$C$13,C14)="Moon","🏠 Own House","—"))))</f>
        <v/>
      </c>
    </row>
    <row r="15">
      <c r="A15" s="40" t="inlineStr">
        <is>
          <t>Mars (Mangala)</t>
        </is>
      </c>
      <c r="B15" s="41" t="inlineStr">
        <is>
          <t>Mesha - Aries</t>
        </is>
      </c>
      <c r="C15" s="46">
        <f>IF(B15="","",MATCH(LEFT(B15,FIND(" - ",B15)-1),'Reference Data'!B$2:B$13,0))</f>
        <v/>
      </c>
      <c r="D15" s="47">
        <f>IF(C15="","",MOD(C15-$C$12,12)+1)</f>
        <v/>
      </c>
      <c r="E15" s="38" t="n">
        <v>27.13</v>
      </c>
      <c r="F15" s="38" t="n"/>
      <c r="G15" s="47">
        <f t="array" ref="G15">IF(B15="","",IF(ISNUMBER(SEARCH("Mars",INDEX('Planet Dignity'!$E$2:$E$13,C15))),"⬆ Exalted",IF(ISNUMBER(SEARCH("Mars",INDEX('Planet Dignity'!$F$2:$F$13,C15))),"⬇ Debilitated",IF(INDEX('Planet Dignity'!$C$2:$C$13,C15)="Mars","🏠 Own House","—"))))</f>
        <v/>
      </c>
    </row>
    <row r="16">
      <c r="A16" s="40" t="inlineStr">
        <is>
          <t>Mercury (Budha)</t>
        </is>
      </c>
      <c r="B16" s="41" t="inlineStr">
        <is>
          <t>Mesha - Aries</t>
        </is>
      </c>
      <c r="C16" s="46">
        <f>IF(B16="","",MATCH(LEFT(B16,FIND(" - ",B16)-1),'Reference Data'!B$2:B$13,0))</f>
        <v/>
      </c>
      <c r="D16" s="47">
        <f>IF(C16="","",MOD(C16-$C$12,12)+1)</f>
        <v/>
      </c>
      <c r="E16" s="38" t="n">
        <v>12.18</v>
      </c>
      <c r="F16" s="38" t="n"/>
      <c r="G16" s="47">
        <f t="array" ref="G16">IF(B16="","",IF(ISNUMBER(SEARCH("Mercury",INDEX('Planet Dignity'!$E$2:$E$13,C16))),"⬆ Exalted",IF(ISNUMBER(SEARCH("Mercury",INDEX('Planet Dignity'!$F$2:$F$13,C16))),"⬇ Debilitated",IF(INDEX('Planet Dignity'!$C$2:$C$13,C16)="Mercury","🏠 Own House","—"))))</f>
        <v/>
      </c>
    </row>
    <row r="17">
      <c r="A17" s="40" t="inlineStr">
        <is>
          <t>Jupiter (Guru)</t>
        </is>
      </c>
      <c r="B17" s="41" t="inlineStr">
        <is>
          <t>Simha - Leo</t>
        </is>
      </c>
      <c r="C17" s="46">
        <f>IF(B17="","",MATCH(LEFT(B17,FIND(" - ",B17)-1),'Reference Data'!B$2:B$13,0))</f>
        <v/>
      </c>
      <c r="D17" s="47">
        <f>IF(C17="","",MOD(C17-$C$12,12)+1)</f>
        <v/>
      </c>
      <c r="E17" s="38" t="n">
        <v>2.26</v>
      </c>
      <c r="F17" s="38" t="n"/>
      <c r="G17" s="47">
        <f t="array" ref="G17">IF(B17="","",IF(ISNUMBER(SEARCH("Jupiter",INDEX('Planet Dignity'!$E$2:$E$13,C17))),"⬆ Exalted",IF(ISNUMBER(SEARCH("Jupiter",INDEX('Planet Dignity'!$F$2:$F$13,C17))),"⬇ Debilitated",IF(INDEX('Planet Dignity'!$C$2:$C$13,C17)="Jupiter","🏠 Own House","—"))))</f>
        <v/>
      </c>
    </row>
    <row r="18">
      <c r="A18" s="40" t="inlineStr">
        <is>
          <t>Venus (Shukra)</t>
        </is>
      </c>
      <c r="B18" s="41" t="inlineStr">
        <is>
          <t>Meena - Pisces</t>
        </is>
      </c>
      <c r="C18" s="46">
        <f>IF(B18="","",MATCH(LEFT(B18,FIND(" - ",B18)-1),'Reference Data'!B$2:B$13,0))</f>
        <v/>
      </c>
      <c r="D18" s="47">
        <f>IF(C18="","",MOD(C18-$C$12,12)+1)</f>
        <v/>
      </c>
      <c r="E18" s="38" t="n">
        <v>26.51</v>
      </c>
      <c r="F18" s="38" t="n"/>
      <c r="G18" s="47">
        <f t="array" ref="G18">IF(B18="","",IF(ISNUMBER(SEARCH("Venus",INDEX('Planet Dignity'!$E$2:$E$13,C18))),"⬆ Exalted",IF(ISNUMBER(SEARCH("Venus",INDEX('Planet Dignity'!$F$2:$F$13,C18))),"⬇ Debilitated",IF(INDEX('Planet Dignity'!$C$2:$C$13,C18)="Venus","🏠 Own House","—"))))</f>
        <v/>
      </c>
    </row>
    <row r="19">
      <c r="A19" s="40" t="inlineStr">
        <is>
          <t>Saturn (Shani)</t>
        </is>
      </c>
      <c r="B19" s="41" t="inlineStr">
        <is>
          <t>Meena - Pisces</t>
        </is>
      </c>
      <c r="C19" s="46">
        <f>IF(B19="","",MATCH(LEFT(B19,FIND(" - ",B19)-1),'Reference Data'!B$2:B$13,0))</f>
        <v/>
      </c>
      <c r="D19" s="47">
        <f>IF(C19="","",MOD(C19-$C$12,12)+1)</f>
        <v/>
      </c>
      <c r="E19" s="38" t="n">
        <v>24.29</v>
      </c>
      <c r="F19" s="38" t="n"/>
      <c r="G19" s="47">
        <f t="array" ref="G19">IF(B19="","",IF(ISNUMBER(SEARCH("Saturn",INDEX('Planet Dignity'!$E$2:$E$13,C19))),"⬆ Exalted",IF(ISNUMBER(SEARCH("Saturn",INDEX('Planet Dignity'!$F$2:$F$13,C19))),"⬇ Debilitated",IF(INDEX('Planet Dignity'!$C$2:$C$13,C19)="Saturn","🏠 Own House","—"))))</f>
        <v/>
      </c>
    </row>
    <row r="20">
      <c r="A20" s="42" t="inlineStr">
        <is>
          <t>Rahu</t>
        </is>
      </c>
      <c r="B20" s="41" t="inlineStr">
        <is>
          <t>Meena - Pisces</t>
        </is>
      </c>
      <c r="C20" s="46">
        <f>IF(B20="","",MATCH(LEFT(B20,FIND(" - ",B20)-1),'Reference Data'!B$2:B$13,0))</f>
        <v/>
      </c>
      <c r="D20" s="47">
        <f>IF(C20="","",MOD(C20-$C$12,12)+1)</f>
        <v/>
      </c>
      <c r="E20" s="38" t="n">
        <v>24.28</v>
      </c>
      <c r="F20" s="38" t="n"/>
      <c r="G20" s="47">
        <f t="array" ref="G20">IF(B20="","",IF(ISNUMBER(SEARCH("Rahu",INDEX('Planet Dignity'!$E$2:$E$13,C20))),"⬆ Exalted",IF(ISNUMBER(SEARCH("Rahu",INDEX('Planet Dignity'!$F$2:$F$13,C20))),"⬇ Debilitated","—")))</f>
        <v/>
      </c>
    </row>
    <row r="21">
      <c r="A21" s="43" t="inlineStr">
        <is>
          <t>Ketu</t>
        </is>
      </c>
      <c r="B21" s="39" t="inlineStr">
        <is>
          <t>Kanya - Virgo</t>
        </is>
      </c>
      <c r="C21" s="46">
        <f>IF(B21="","",MATCH(LEFT(B21,FIND(" - ",B21)-1),'Reference Data'!B$2:B$13,0))</f>
        <v/>
      </c>
      <c r="D21" s="47">
        <f>IF(C21="","",MOD(C21-$C$12,12)+1)</f>
        <v/>
      </c>
      <c r="E21" s="38" t="n">
        <v>24.28</v>
      </c>
      <c r="F21" s="38" t="n"/>
      <c r="G21" s="46">
        <f t="array" ref="G21">IF(B21="","",IF(ISNUMBER(SEARCH("Ketu",INDEX('Planet Dignity'!$E$2:$E$13,C21))),"⬆ Exalted",IF(ISNUMBER(SEARCH("Ketu",INDEX('Planet Dignity'!$F$2:$F$13,C21))),"⬇ Debilitated","—")))</f>
        <v/>
      </c>
    </row>
    <row r="23">
      <c r="A23" s="48" t="inlineStr">
        <is>
          <t>Instructions:</t>
        </is>
      </c>
    </row>
    <row r="24">
      <c r="A24" s="49" t="inlineStr">
        <is>
          <t>1. Enter birth details above (Name, DOB, Time, Place, Gender).</t>
        </is>
      </c>
    </row>
    <row r="25">
      <c r="A25" s="49" t="inlineStr">
        <is>
          <t>2. Select Rashi from dropdown for Lagna and each planet. House # auto-calculates relative to Lagna.</t>
        </is>
      </c>
    </row>
    <row r="26">
      <c r="A26" s="49" t="inlineStr">
        <is>
          <t>3. Optionally enter degree (0-30) and retrograde status.</t>
        </is>
      </c>
    </row>
    <row r="27">
      <c r="A27" s="49" t="inlineStr">
        <is>
          <t>4. Go to the 'Analysis' sheet to see the full automated horoscope report.</t>
        </is>
      </c>
    </row>
    <row r="28">
      <c r="A28" s="49" t="inlineStr">
        <is>
          <t>5. Blue cells = Input cells (user editable). House # is auto-computed: House 1 = Lagna rashi.</t>
        </is>
      </c>
    </row>
    <row r="29" ht="22" customHeight="1">
      <c r="A29" s="87" t="inlineStr">
        <is>
          <t>🚀 PUBLISH WORKFLOW</t>
        </is>
      </c>
    </row>
    <row r="30" ht="28" customHeight="1">
      <c r="A30" s="88" t="inlineStr">
        <is>
          <t>🚀  PUBLISH TO GITHUB  →  click here to push this workbook</t>
        </is>
      </c>
      <c r="B30" s="89" t="n"/>
      <c r="C30" s="89" t="n"/>
      <c r="D30" s="89" t="n"/>
      <c r="E30" s="89" t="n"/>
      <c r="F30" s="89" t="n"/>
      <c r="G30" s="90" t="n"/>
    </row>
    <row r="31" ht="12" customHeight="1">
      <c r="A31" s="91" t="n"/>
      <c r="B31" s="92" t="n"/>
      <c r="C31" s="92" t="n"/>
      <c r="D31" s="92" t="n"/>
      <c r="E31" s="92" t="n"/>
      <c r="F31" s="92" t="n"/>
      <c r="G31" s="93" t="n"/>
    </row>
    <row r="33" ht="16" customHeight="1">
      <c r="A33" s="94" t="inlineStr">
        <is>
          <t>After editing this workbook and saving, click the button above. A web page will open where you drop the saved .xlsx file. A GitHub Action then rebuilds the horoscope page and republishes it within ~1 minute.</t>
        </is>
      </c>
    </row>
    <row r="34" ht="16" customHeight="1"/>
  </sheetData>
  <mergeCells count="6">
    <mergeCell ref="A1:G1"/>
    <mergeCell ref="A30:G31"/>
    <mergeCell ref="A3:D3"/>
    <mergeCell ref="A33:G34"/>
    <mergeCell ref="A29:G29"/>
    <mergeCell ref="A10:G10"/>
  </mergeCells>
  <dataValidations count="3">
    <dataValidation sqref="F13:F21" showDropDown="0" showInputMessage="1" showErrorMessage="1" allowBlank="1" type="list">
      <formula1>"Yes,No"</formula1>
    </dataValidation>
    <dataValidation sqref="B8" showDropDown="0" showInputMessage="1" showErrorMessage="1" allowBlank="1" type="list">
      <formula1>"Male,Female"</formula1>
    </dataValidation>
    <dataValidation sqref="B12:B21" showDropDown="0" showInputMessage="1" showErrorMessage="1" allowBlank="1" type="list">
      <formula1>"Mesha - Aries,Vrishaba - Taurus,Mithuna - Gemini,Karkataka - Cancer,Simha - Leo,Kanya - Virgo,Tula - Libra,Vrischika - Scorpio,Dhanur - Sagittarius,Makara - Capricorn,Kumbha - Aquarius,Meena - Pisces"</formula1>
    </dataValidation>
  </dataValidations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topLeftCell="A18" workbookViewId="0">
      <selection activeCell="A2" sqref="A2:F2"/>
    </sheetView>
  </sheetViews>
  <sheetFormatPr baseColWidth="8" defaultRowHeight="15"/>
  <cols>
    <col width="38.140625" customWidth="1" min="1" max="1"/>
    <col width="41.85546875" customWidth="1" min="2" max="2"/>
    <col width="84" customWidth="1" min="3" max="3"/>
    <col width="24.7109375" customWidth="1" min="4" max="4"/>
    <col width="19" customWidth="1" min="5" max="5"/>
    <col width="66.7109375" customWidth="1" min="6" max="6"/>
  </cols>
  <sheetData>
    <row r="1" ht="21" customHeight="1">
      <c r="A1" s="62" t="inlineStr">
        <is>
          <t>🔮 HOROSCOPE ANALYSIS REPORT</t>
        </is>
      </c>
    </row>
    <row r="2">
      <c r="A2" s="66">
        <f>IF(Input!B4="","","Name: "&amp;Input!B4&amp;"  |  DOB: "&amp;TEXT(Input!B5,"dd-mmm-yyyy")&amp;"  |  Time: "&amp;TEXT(Input!B6,"hh:mm AM/PM")&amp;"  |  Place: "&amp;Input!B7)</f>
        <v/>
      </c>
    </row>
    <row r="4" ht="17.25" customHeight="1">
      <c r="A4" s="64" t="inlineStr">
        <is>
          <t>1. LAGNA (ASCENDANT) ANALYSIS — Indicates Personality (How the World Sees You)</t>
        </is>
      </c>
    </row>
    <row r="5">
      <c r="A5" s="14" t="inlineStr">
        <is>
          <t>Characteristic</t>
        </is>
      </c>
      <c r="B5" s="14" t="inlineStr">
        <is>
          <t>Value</t>
        </is>
      </c>
      <c r="C5" s="14" t="inlineStr">
        <is>
          <t>Explanation</t>
        </is>
      </c>
    </row>
    <row r="6" ht="30" customHeight="1">
      <c r="A6" s="16" t="inlineStr">
        <is>
          <t>Janma Lagna (Rashi)</t>
        </is>
      </c>
      <c r="B6" s="12">
        <f>IF(Input!B12="","",LEFT(Input!B12,FIND(" - ",Input!B12)-1)&amp;" ("&amp;MID(Input!B12,FIND(" - ",Input!B12)+3,100)&amp;")")</f>
        <v/>
      </c>
      <c r="C6" s="18" t="inlineStr">
        <is>
          <t>The sign rising on the eastern horizon at birth. Determines physical body, outer personality and how others perceive you. Lagna ≠ Mind.</t>
        </is>
      </c>
    </row>
    <row r="7" ht="45" customHeight="1">
      <c r="A7" s="16" t="inlineStr">
        <is>
          <t>Gender (Odd/Even)</t>
        </is>
      </c>
      <c r="B7" s="12">
        <f t="array" ref="B7">IF(Input!C12="","",INDEX('Reference Data'!D$2:D$13,Input!C12))</f>
        <v/>
      </c>
      <c r="C7" s="18" t="inlineStr">
        <is>
          <t>Odd = Masculine energy (assertive, active outer demeanor). Even = Feminine energy (receptive, gentle outer demeanor). Describes how you appear to others.</t>
        </is>
      </c>
    </row>
    <row r="8" ht="30" customHeight="1">
      <c r="A8" s="16" t="inlineStr">
        <is>
          <t>Chara / Sthira / Dwisabhava</t>
        </is>
      </c>
      <c r="B8" s="12">
        <f t="array" ref="B8">IF(Input!C12="","",INDEX('Reference Data'!E$2:E$13,Input!C12))</f>
        <v/>
      </c>
      <c r="C8" s="18">
        <f>IF(B8="","",IF(B8="Chara","Moveable personality: Appears flexible, dynamic, always on the move. Others see you as an achiever.",IF(B8="Sthira","Fixed personality: Appears rigid, determined, stubborn. Others see you as firm and reliable.","Dual personality: Appears adaptable, cautious. Others see you as calculative and flexible.")))</f>
        <v/>
      </c>
    </row>
    <row r="9" ht="30" customHeight="1">
      <c r="A9" s="16" t="inlineStr">
        <is>
          <t>Tatwa (Element)</t>
        </is>
      </c>
      <c r="B9" s="12">
        <f t="array" ref="B9">IF(Input!C12="","",INDEX('Reference Data'!F$2:F$13,Input!C12))</f>
        <v/>
      </c>
      <c r="C9" s="18">
        <f>IF(B9="","",IF(B9="Agni","Fire personality: Appears energetic, commanding, assertive. Others see you as a leader and doer.",IF(B9="Vayu","Air personality: Appears intellectual, balanced, creative. Others see you as a thinker.",IF(B9="Prithvi","Earth personality: Appears stable, practical, grounded. Others see you as reliable and hardworking.","Water personality: Appears emotional, compassionate, caring. Others see you as sensitive."))))</f>
        <v/>
      </c>
    </row>
    <row r="10" ht="30" customHeight="1">
      <c r="A10" s="16" t="inlineStr">
        <is>
          <t>Direction</t>
        </is>
      </c>
      <c r="B10" s="12">
        <f t="array" ref="B10">IF(Input!C12="","",INDEX('Reference Data'!G$2:G$13,Input!C12))</f>
        <v/>
      </c>
      <c r="C10" s="18" t="inlineStr">
        <is>
          <t>Cardinal direction associated with the Lagna rashi. Indicates favorable physical direction for the person.</t>
        </is>
      </c>
    </row>
    <row r="11" ht="30" customHeight="1">
      <c r="A11" s="16" t="inlineStr">
        <is>
          <t>Varna</t>
        </is>
      </c>
      <c r="B11" s="12">
        <f t="array" ref="B11">IF(Input!C12="","",INDEX('Reference Data'!H$2:H$13,Input!C12))</f>
        <v/>
      </c>
      <c r="C11" s="18" t="inlineStr">
        <is>
          <t>Social standing indicated by Lagna. Used in match-making (Varna Koota). Reflects outward social behavior.</t>
        </is>
      </c>
    </row>
    <row r="12" ht="30" customHeight="1">
      <c r="A12" s="16" t="inlineStr">
        <is>
          <t>Purushartha</t>
        </is>
      </c>
      <c r="B12" s="12">
        <f t="array" ref="B12">IF(Input!C12="","",INDEX('Reference Data'!I$2:I$13,Input!C12))</f>
        <v/>
      </c>
      <c r="C12" s="18">
        <f>IF(B12="","",IF(B12="Dharma","Dharma Triangle: Outer life oriented towards religion, duty, and righteous actions.",IF(B12="Artha","Artha Triangle: Outer life oriented towards earning, wealth, and material achievement.",IF(B12="Kama","Kama Triangle: Outer life oriented towards desires and their fulfillment.","Moksha Triangle: Outer life oriented towards spiritual liberation and detachment."))))</f>
        <v/>
      </c>
    </row>
    <row r="13">
      <c r="A13" s="16" t="inlineStr">
        <is>
          <t>Triguna</t>
        </is>
      </c>
      <c r="B13" s="12">
        <f t="array" ref="B13">IF(Input!C12="","",INDEX('Reference Data'!J$2:J$13,Input!C12))</f>
        <v/>
      </c>
      <c r="C13" s="18">
        <f>IF(B13="","",IF(B13="Sathvik","Sathvik personality: Appears religious, happy, selfless, healthy to others.",IF(B13="Rajasika","Rajasika personality: Appears materialistic, ambitious, proud to others.","Tamasika personality: Appears careless, lazy, dull to others.")))</f>
        <v/>
      </c>
    </row>
    <row r="14">
      <c r="A14" s="16" t="inlineStr">
        <is>
          <t>Constitution</t>
        </is>
      </c>
      <c r="B14" s="12">
        <f t="array" ref="B14">IF(Input!C12="","",INDEX('Reference Data'!K$2:K$13,Input!C12))</f>
        <v/>
      </c>
      <c r="C14" s="18">
        <f>IF(B14="","",IF(B14="Dhatu","Dhatu: Physical constitution linked to non-living substances (metals, minerals).",IF(B14="Moola","Moola: Physical constitution linked to plant kingdom (rooted, growing).","Jeeva: Physical constitution linked to living beings (animate, active).")))</f>
        <v/>
      </c>
    </row>
    <row r="15" ht="30" customHeight="1">
      <c r="A15" s="16" t="inlineStr">
        <is>
          <t>Fertility</t>
        </is>
      </c>
      <c r="B15" s="12">
        <f t="array" ref="B15">IF(Input!C12="","",INDEX('Reference Data'!L$2:L$13,Input!C12))</f>
        <v/>
      </c>
      <c r="C15" s="18" t="inlineStr">
        <is>
          <t>Physical fertility indicated by Lagna. Fruitful = strong physical vitality. Barren = challenges in physical constitution.</t>
        </is>
      </c>
    </row>
    <row r="16" ht="30" customHeight="1">
      <c r="A16" s="16" t="inlineStr">
        <is>
          <t>Day/Night Strength</t>
        </is>
      </c>
      <c r="B16" s="12">
        <f t="array" ref="B16">IF(Input!C12="","",INDEX('Reference Data'!M$2:M$13,Input!C12))</f>
        <v/>
      </c>
      <c r="C16" s="18" t="inlineStr">
        <is>
          <t>Indicates when the physical body is most energetic. Diurnal = daytime strength. Nocturnal = nighttime strength.</t>
        </is>
      </c>
    </row>
    <row r="17" ht="30" customHeight="1">
      <c r="A17" s="16" t="inlineStr">
        <is>
          <t>Rising Position</t>
        </is>
      </c>
      <c r="B17" s="12">
        <f t="array" ref="B17">IF(Input!C12="","",INDEX('Reference Data'!N$2:N$13,Input!C12))</f>
        <v/>
      </c>
      <c r="C17" s="18" t="inlineStr">
        <is>
          <t>Rising position of Lagna rashi. Shirsodaya = head rises first = favorable for physical undertakings.</t>
        </is>
      </c>
    </row>
    <row r="18" ht="30" customHeight="1">
      <c r="A18" s="16" t="inlineStr">
        <is>
          <t>Tridosha</t>
        </is>
      </c>
      <c r="B18" s="12">
        <f t="array" ref="B18">IF(Input!C12="","",INDEX('Reference Data'!P$2:P$13,Input!C12))</f>
        <v/>
      </c>
      <c r="C18" s="18">
        <f>IF(B18="","",IF(B18="Pitha","Pitha body: Hot physical constitution, strong digestion, prone to inflammation and heat-related ailments.",IF(B18="Vatha","Vatha body: Light physical constitution, prone to joint/nerve issues, dry skin.",IF(B18="Kapha","Kapha body: Heavy physical constitution, calm, prone to congestion and weight gain.","Tridosha body: Balanced physical constitution with all three doshas."))))</f>
        <v/>
      </c>
    </row>
    <row r="19" ht="30" customHeight="1">
      <c r="A19" s="16" t="inlineStr">
        <is>
          <t>Lucky Colour</t>
        </is>
      </c>
      <c r="B19" s="12">
        <f t="array" ref="B19">IF(Input!C12="","",INDEX('Reference Data'!Q$2:Q$13,Input!C12))</f>
        <v/>
      </c>
      <c r="C19" s="18" t="inlineStr">
        <is>
          <t>Lucky colour for outer appearance and physical well-being. Wearing this colour enhances Lagna strength.</t>
        </is>
      </c>
    </row>
    <row r="20">
      <c r="A20" s="16" t="inlineStr">
        <is>
          <t>Associated Place</t>
        </is>
      </c>
      <c r="B20" s="12">
        <f t="array" ref="B20">IF(Input!C12="","",INDEX('Reference Data'!R$2:R$13,Input!C12))</f>
        <v/>
      </c>
      <c r="C20" s="18" t="inlineStr">
        <is>
          <t>Place where the physical body feels most comfortable and energized.</t>
        </is>
      </c>
    </row>
    <row r="21" ht="30" customHeight="1">
      <c r="A21" s="16" t="inlineStr">
        <is>
          <t>Jyothirlinga</t>
        </is>
      </c>
      <c r="B21" s="12">
        <f t="array" ref="B21">IF(Input!C12="","",INDEX('Reference Data'!S$2:S$13,Input!C12))</f>
        <v/>
      </c>
      <c r="C21" s="18" t="inlineStr">
        <is>
          <t>Sacred Jyothirlinga associated with this Lagna. Visiting strengthens physical and outer well-being.</t>
        </is>
      </c>
    </row>
    <row r="22" ht="30" customHeight="1">
      <c r="A22" s="16" t="inlineStr">
        <is>
          <t>Body Part (Kala Purusha)</t>
        </is>
      </c>
      <c r="B22" s="12">
        <f t="array" ref="B22">IF(Input!C12="","",INDEX('Reference Data'!T$2:T$13,Input!C12))</f>
        <v/>
      </c>
      <c r="C22" s="18" t="inlineStr">
        <is>
          <t>Body part of Kala Purusha mapped to this Lagna. Primary health focus area for the physical body.</t>
        </is>
      </c>
    </row>
    <row r="23" ht="45" customHeight="1">
      <c r="A23" s="17" t="inlineStr">
        <is>
          <t>Personality Traits (Outer Nature)</t>
        </is>
      </c>
      <c r="B23" s="15">
        <f t="array" ref="B23">IF(Input!C12="","",INDEX('Reference Data'!U$2:U$13,Input!C12))</f>
        <v/>
      </c>
      <c r="C23" s="15" t="inlineStr">
        <is>
          <t>Core PERSONALITY traits based on Lagna. This is how you behave outwardly, how people describe you, your physical demeanor and approach to life.</t>
        </is>
      </c>
    </row>
    <row r="24">
      <c r="C24" s="1" t="n"/>
    </row>
    <row r="25" ht="17.25" customHeight="1">
      <c r="A25" s="64" t="inlineStr">
        <is>
          <t>2. JANMA RASHI (MOON SIGN) ANALYSIS — Indicates Mindset (How You Think &amp; Feel Inside)</t>
        </is>
      </c>
    </row>
    <row r="26">
      <c r="A26" s="14" t="inlineStr">
        <is>
          <t>Characteristic</t>
        </is>
      </c>
      <c r="B26" s="14" t="inlineStr">
        <is>
          <t>Value</t>
        </is>
      </c>
      <c r="C26" s="21" t="inlineStr">
        <is>
          <t>Explanation</t>
        </is>
      </c>
    </row>
    <row r="27" ht="30" customHeight="1">
      <c r="A27" s="16" t="inlineStr">
        <is>
          <t>Janma Rashi (Moon Sign)</t>
        </is>
      </c>
      <c r="B27" s="12">
        <f>IF(Input!B14="","",LEFT(Input!B14,FIND(" - ",Input!B14)-1)&amp;" ("&amp;MID(Input!B14,FIND(" - ",Input!B14)+3,100)&amp;")")</f>
        <v/>
      </c>
      <c r="C27" s="18" t="inlineStr">
        <is>
          <t>The rashi where Moon is placed. Determines the mind, emotions, inner nature, and how you think and feel. Moon ≠ Personality.</t>
        </is>
      </c>
    </row>
    <row r="28" ht="30" customHeight="1">
      <c r="A28" s="16" t="inlineStr">
        <is>
          <t>Moon Dignity</t>
        </is>
      </c>
      <c r="B28" s="12">
        <f>IF(Input!C14="","",Input!G14)</f>
        <v/>
      </c>
      <c r="C28" s="18" t="inlineStr">
        <is>
          <t>Moon exalted in Vrishaba (Taurus) = strong, stable mind. Debilitated in Vrischika (Scorpio) = turbulent, anxious mind.</t>
        </is>
      </c>
    </row>
    <row r="29" ht="45" customHeight="1">
      <c r="A29" s="16" t="inlineStr">
        <is>
          <t>Mindset &amp; Inner Emotions</t>
        </is>
      </c>
      <c r="B29" s="18">
        <f t="array" ref="B29">IF(Input!C14="","",INDEX('Reference Data'!U$2:U$13,Input!C14))</f>
        <v/>
      </c>
      <c r="C29" s="18" t="inlineStr">
        <is>
          <t>Core MINDSET traits based on Moon rashi. This is how you think internally, your emotional patterns, inner reactions, and mental tendencies.</t>
        </is>
      </c>
    </row>
    <row r="30">
      <c r="A30" s="16" t="inlineStr">
        <is>
          <t>Element (Tatwa)</t>
        </is>
      </c>
      <c r="B30" s="12">
        <f t="array" ref="B30">IF(Input!C14="","",INDEX('Reference Data'!F$2:F$13,Input!C14))</f>
        <v/>
      </c>
      <c r="C30" s="18">
        <f>IF(B30="","",IF(B30="Agni","Fire mind: Passionate, energetic thinking, quick temper.",IF(B30="Vayu","Air mind: Intellectual, analytical, restless thoughts.",IF(B30="Prithvi","Earth mind: Practical, grounded, steady emotions.","Water mind: Deep emotions, intuitive, empathetic."))))</f>
        <v/>
      </c>
    </row>
    <row r="31">
      <c r="A31" s="16" t="inlineStr">
        <is>
          <t>Triguna of Moon Sign</t>
        </is>
      </c>
      <c r="B31" s="12">
        <f t="array" ref="B31">IF(Input!C14="","",INDEX('Reference Data'!J$2:J$13,Input!C14))</f>
        <v/>
      </c>
      <c r="C31" s="18">
        <f>IF(B31="","",IF(B31="Sathvik","Sathvik mind: Peaceful, religious, content disposition.",IF(B31="Rajasika","Rajasika mind: Ambitious, desire-driven, restless.","Tamasika mind: Prone to inertia, negativity, confusion.")))</f>
        <v/>
      </c>
    </row>
    <row r="32">
      <c r="A32" s="16" t="inlineStr">
        <is>
          <t>Purushartha of Moon Sign</t>
        </is>
      </c>
      <c r="B32" s="12">
        <f t="array" ref="B32">IF(Input!C14="","",INDEX('Reference Data'!I$2:I$13,Input!C14))</f>
        <v/>
      </c>
      <c r="C32" s="18">
        <f>IF(B32="","",IF(B32="Dharma","Mind inclined towards duty, righteousness and moral values.",IF(B32="Artha","Mind focused on wealth accumulation and material security.",IF(B32="Kama","Mind driven by desires, pleasures and fulfillment of wishes.","Mind tends towards spiritual pursuits and liberation."))))</f>
        <v/>
      </c>
    </row>
    <row r="33" ht="30" customHeight="1">
      <c r="A33" s="50" t="inlineStr">
        <is>
          <t>Tridosha of Moon Sign</t>
        </is>
      </c>
      <c r="B33" s="19">
        <f t="array" ref="B33">IF(Input!C14="","",INDEX('Reference Data'!P$2:P$13,Input!C14))</f>
        <v/>
      </c>
      <c r="C33" s="13" t="inlineStr">
        <is>
          <t>Mental health constitution indicated by Moon's rashi. Shows which dosha affects the mind and emotional well-being.</t>
        </is>
      </c>
    </row>
    <row r="34">
      <c r="A34" s="52" t="inlineStr">
        <is>
          <t>Gender (Odd/Even) of Moon Rashi</t>
        </is>
      </c>
      <c r="B34" s="51">
        <f t="array" ref="B34">IF(Input!C14="","",INDEX('Reference Data'!D$2:D$13,Input!C14))</f>
        <v/>
      </c>
      <c r="C34" s="59">
        <f>IF(B34="","",IF(LEFT(B34,3)="Odd","Odd (Masculine) Moon Rashi: Active, assertive mind. Thinks independently, acts quickly.","Even (Feminine) Moon Rashi: Receptive, nurturing mind. Listens first, empathizes naturally."))</f>
        <v/>
      </c>
    </row>
    <row r="35">
      <c r="A35" s="52" t="inlineStr">
        <is>
          <t>Chara/Sthira/Dwisabhava of Moon Rashi</t>
        </is>
      </c>
      <c r="B35" s="51">
        <f t="array" ref="B35">IF(Input!C14="","",INDEX('Reference Data'!E$2:E$13,Input!C14))</f>
        <v/>
      </c>
      <c r="C35" s="60">
        <f>IF(B35="","",IF(B35="Chara","Moveable Moon: Mind is dynamic, restless, craves change and new experiences.",IF(B35="Sthira","Fixed Moon: Mind is steady, persistent, emotionally rigid, dislikes change.","Dual Moon: Mind oscillates between options, adaptable but sometimes indecisive.")))</f>
        <v/>
      </c>
    </row>
    <row r="36" ht="30" customHeight="1">
      <c r="A36" s="52" t="inlineStr">
        <is>
          <t>Direction of Moon Rashi</t>
        </is>
      </c>
      <c r="B36" s="51">
        <f t="array" ref="B36">IF(Input!C14="","",INDEX('Reference Data'!G$2:G$13,Input!C14))</f>
        <v/>
      </c>
      <c r="C36" s="60" t="inlineStr">
        <is>
          <t>Direction the mind is drawn towards. In Prashna, indicates where a missing object or person may be found.</t>
        </is>
      </c>
    </row>
    <row r="37">
      <c r="A37" s="52" t="inlineStr">
        <is>
          <t>Varna of Moon Rashi</t>
        </is>
      </c>
      <c r="B37" s="51">
        <f t="array" ref="B37">IF(Input!C14="","",INDEX('Reference Data'!H$2:H$13,Input!C14))</f>
        <v/>
      </c>
      <c r="C37" s="60">
        <f>IF(B37="","",IF(B37="Brahmin","Brahmin Moon: Mind inclined towards knowledge, teaching, spirituality and learning.",IF(B37="Kshatriya","Kshatriya Moon: Mind inclined towards leadership, courage, protecting others.",IF(B37="Vaishya","Vaishya Moon: Mind inclined towards trade, negotiation, practical thinking.","Shudra Moon: Mind inclined towards service, craftsmanship, humility."))))</f>
        <v/>
      </c>
    </row>
    <row r="38">
      <c r="A38" s="52" t="inlineStr">
        <is>
          <t>Constitution of Moon Rashi</t>
        </is>
      </c>
      <c r="B38" s="51">
        <f t="array" ref="B38">IF(Input!C14="","",INDEX('Reference Data'!K$2:K$13,Input!C14))</f>
        <v/>
      </c>
      <c r="C38" s="60">
        <f>IF(B38="","",IF(B38="Dhatu","Dhatu Moon: Mind attracted to material objects, practical security, tangible outcomes.",IF(B38="Moola","Moola Moon: Mind connected to nature, growth, rooted thinking, organic processes.","Jeeva Moon: Mind oriented towards living beings, relationships, empathy, social bonds.")))</f>
        <v/>
      </c>
    </row>
    <row r="39">
      <c r="A39" s="52" t="inlineStr">
        <is>
          <t>Fertility of Moon Rashi</t>
        </is>
      </c>
      <c r="B39" s="51">
        <f t="array" ref="B39">IF(Input!C14="","",INDEX('Reference Data'!L$2:L$13,Input!C14))</f>
        <v/>
      </c>
      <c r="C39" s="60">
        <f>IF(B39="","",IF(B39="Fruitful","Fruitful Moon: Emotionally abundant, nurturing, good for fertility and creative thinking.",IF(B39="Barren","Barren Moon: Emotionally restrained, may suppress feelings, analytical over emotional.","Semi-fruitful Moon: Moderate emotional expression, balanced between nurturing and restraint.")))</f>
        <v/>
      </c>
    </row>
    <row r="40">
      <c r="A40" s="52" t="inlineStr">
        <is>
          <t>Day/Night Strength of Moon Rashi</t>
        </is>
      </c>
      <c r="B40" s="51">
        <f t="array" ref="B40">IF(Input!C14="","",INDEX('Reference Data'!M$2:M$13,Input!C14))</f>
        <v/>
      </c>
      <c r="C40" s="60">
        <f>IF(B40="","",IF(B40="Nocturnal","Nocturnal Moon: Mind is strongest at night, creative in solitude, introspective, imaginative.","Diurnal Moon: Mind is sharpest during the day, thrives in social settings, action-oriented."))</f>
        <v/>
      </c>
    </row>
    <row r="41">
      <c r="A41" s="52" t="inlineStr">
        <is>
          <t>Rising Position of Moon Rashi</t>
        </is>
      </c>
      <c r="B41" s="51">
        <f t="array" ref="B41">IF(Input!C14="","",INDEX('Reference Data'!N$2:N$13,Input!C14))</f>
        <v/>
      </c>
      <c r="C41" s="60">
        <f>IF(B41="","",IF(B41="Shirsodaya","Shirsodaya Moon: Thoughts lead to success, favorable for mental queries and decisions.",IF(B41="Prushtodaya","Prushtodaya Moon: Slow to reveal results, patience needed for mental endeavors.","Ubhayodaya Moon: Mixed rising, results depend on supporting planets.")))</f>
        <v/>
      </c>
    </row>
    <row r="42" ht="30" customHeight="1">
      <c r="A42" s="52" t="inlineStr">
        <is>
          <t>Lucky Colour of Moon Rashi</t>
        </is>
      </c>
      <c r="B42" s="51">
        <f t="array" ref="B42">IF(Input!C14="","",INDEX('Reference Data'!Q$2:Q$13,Input!C14))</f>
        <v/>
      </c>
      <c r="C42" s="60" t="inlineStr">
        <is>
          <t>Wearing or surrounding yourself with this colour calms the mind and enhances Moon's positive effects.</t>
        </is>
      </c>
    </row>
    <row r="43" ht="30" customHeight="1">
      <c r="A43" s="52" t="inlineStr">
        <is>
          <t>Associated Place of Moon Rashi</t>
        </is>
      </c>
      <c r="B43" s="51">
        <f t="array" ref="B43">IF(Input!C14="","",INDEX('Reference Data'!R$2:R$13,Input!C14))</f>
        <v/>
      </c>
      <c r="C43" s="60" t="inlineStr">
        <is>
          <t>Place where the mind feels most at peace. Visiting such places can strengthen mental well-being.</t>
        </is>
      </c>
    </row>
    <row r="44" ht="30" customHeight="1">
      <c r="A44" s="52" t="inlineStr">
        <is>
          <t>Jyothirlinga of Moon Rashi</t>
        </is>
      </c>
      <c r="B44" s="51">
        <f t="array" ref="B44">IF(Input!C14="","",INDEX('Reference Data'!S$2:S$13,Input!C14))</f>
        <v/>
      </c>
      <c r="C44" s="60" t="inlineStr">
        <is>
          <t>Sacred Jyothirlinga associated with Moon rashi. Visiting this temple brings mental peace and emotional healing.</t>
        </is>
      </c>
    </row>
    <row r="45" ht="30" customHeight="1">
      <c r="A45" s="52" t="inlineStr">
        <is>
          <t>Body Part of Moon Rashi</t>
        </is>
      </c>
      <c r="B45" s="51">
        <f t="array" ref="B45">IF(Input!C14="","",INDEX('Reference Data'!T$2:T$13,Input!C14))</f>
        <v/>
      </c>
      <c r="C45" s="60" t="inlineStr">
        <is>
          <t>Body area most sensitive to emotional stress. Psychosomatic ailments may manifest here when mind is disturbed.</t>
        </is>
      </c>
    </row>
    <row r="46" ht="30" customHeight="1">
      <c r="A46" s="52" t="inlineStr">
        <is>
          <t>Moon's House from Lagna</t>
        </is>
      </c>
      <c r="B46" s="53">
        <f>IF(Input!C14="","","House "&amp;Input!D14)</f>
        <v/>
      </c>
      <c r="C46" s="61">
        <f>IF(Input!D14="","",CHOOSE(Input!D14,"Moon in 1st House (Lagna): Strong mind, emotional personality, people see your feelings easily. Self-image tied to emotions.","Moon in 2nd House (Dhana): Mind focused on family and wealth. Sweet speech, attachment to possessions.","Moon in 3rd House (Sahaja): Restless mind, creative communication. Brave but mentally scattered.","Moon in 4th House (Sukha): Very emotional, deep attachment to mother and home. Strong intuition.","Moon in 5th House (Putra): Creative, romantic mind. Emotionally invested in children and learning.","Moon in 6th House (Ripu): Mind troubled by enemies, debts, or health. Worry-prone. Serves others but inner anxiety.","Moon in 7th House (Kalatra): Mind focused on partnerships. Emotional dependence on spouse.","Moon in 8th House (Ayu): Deep, secretive mind. Interest in occult, transformation. Emotional upheavals.","Moon in 9th House (Bhagya): Spiritual mind, fortune through intuition. Connected to dharma and father.","Moon in 10th House (Karma): Mind driven by career and public image. Emotional fulfillment through profession.","Moon in 11th House (Labha): Social mind, gains through networks. Satisfied by friendships.","Moon in 12th House (Vyaya): Meditative, isolated mind. Spiritual inclinations. Vivid dreams. Foreign connections."))</f>
        <v/>
      </c>
    </row>
    <row r="47" ht="30" customHeight="1">
      <c r="A47" s="52" t="inlineStr">
        <is>
          <t>Moon's Bhava Significance</t>
        </is>
      </c>
      <c r="B47" s="54">
        <f>IF(Input!D14="","",IF(Input!D14=1,"Kendra + Trikona",IF(OR(Input!D14=4,Input!D14=7,Input!D14=10),"Kendra (Vishnu Sthana)",IF(OR(Input!D14=5,Input!D14=9),"Trikona (Lakshmi Sthana)",IF(OR(Input!D14=6,Input!D14=8,Input!D14=12),"Dusthana (Challenging House)",IF(Input!D14=2,"Maraka Sthana",IF(Input!D14=3,"Upachaya Sthana","Upachaya + Labha Sthana")))))))</f>
        <v/>
      </c>
      <c r="C47" s="61">
        <f>IF(B47="","",IF(B47="Kendra + Trikona","Moon in both Kendra and Trikona - strongest placement. Raja Yoga potential.",IF(LEFT(B47,6)="Kendra","Moon in Kendra - strong and stable mind. Vishnu's blessing gives protection.",IF(LEFT(B47,7)="Trikona","Moon in Trikona - auspicious and fortunate mind. Lakshmi's blessing gives wisdom.",IF(LEFT(B47,8)="Dusthana","Moon in Dusthana - mind faces challenges. Emotional stress or hidden fears. Remedial measures recommended.",IF(B47="Maraka Sthana","Moon in Maraka - mind attached to material comforts and family. Speech-related emotional stress.",IF(LEFT(B47,8)="Upachaya","Moon in Upachaya - mind improves with age and effort. Emotional strength builds over time.","")))))))</f>
        <v/>
      </c>
    </row>
    <row r="48" ht="30" customHeight="1">
      <c r="A48" s="57" t="inlineStr">
        <is>
          <t>Moon Remedial Suggestion</t>
        </is>
      </c>
      <c r="B48" s="58">
        <f>IF(Input!C14="","",IF(B30="Agni","Homa / Lamps",IF(B30="Jala","Abhisheka / Teertha",IF(B30="Vayu","Mantra Chanting","Charity / Daan"))))</f>
        <v/>
      </c>
      <c r="C48" s="61">
        <f>IF(B48="","","Based on Moon Tatwa ("&amp;B30&amp;"): "&amp;IF(B30="Agni","Perform Homa, light lamps on Mondays for mental peace.",IF(B30="Jala","Perform Abhisheka on Mondays, visit water bodies and Teertha Sthanas for emotional healing.",IF(B30="Vayu","Chant Chandra Beeja Mantra on Mondays for mental clarity.","Give white clothes, rice, or milk in charity on Mondays for mental peace."))))</f>
        <v/>
      </c>
    </row>
    <row r="49">
      <c r="A49" s="55" t="n"/>
      <c r="B49" s="55" t="n"/>
      <c r="C49" s="56" t="n"/>
      <c r="D49" s="55" t="n"/>
      <c r="E49" s="55" t="n"/>
      <c r="F49" s="55" t="n"/>
    </row>
    <row r="50" ht="17.25" customHeight="1">
      <c r="A50" s="64" t="inlineStr">
        <is>
          <t>3. PLANET-BY-PLANET PLACEMENT ANALYSIS</t>
        </is>
      </c>
    </row>
    <row r="51">
      <c r="A51" s="5" t="inlineStr">
        <is>
          <t>Planet</t>
        </is>
      </c>
      <c r="B51" s="5" t="inlineStr">
        <is>
          <t>Placed in Rashi</t>
        </is>
      </c>
      <c r="C51" s="23" t="inlineStr">
        <is>
          <t>Rashi Lord</t>
        </is>
      </c>
      <c r="D51" s="5" t="inlineStr">
        <is>
          <t>Dignity</t>
        </is>
      </c>
      <c r="E51" s="5" t="inlineStr">
        <is>
          <t>Rashi Element</t>
        </is>
      </c>
      <c r="F51" s="5" t="inlineStr">
        <is>
          <t>Rashi Personality Traits</t>
        </is>
      </c>
    </row>
    <row r="52" ht="30" customHeight="1">
      <c r="A52" s="7" t="inlineStr">
        <is>
          <t>Sun (Surya)</t>
        </is>
      </c>
      <c r="B52" s="4">
        <f>IF(Input!B13="","",LEFT(Input!B13,FIND(" - ",Input!B13)-1)&amp;" ("&amp;MID(Input!B13,FIND(" - ",Input!B13)+3,100)&amp;")")</f>
        <v/>
      </c>
      <c r="C52" s="22">
        <f t="array" ref="C52">IF(Input!C13="","",INDEX('Planet Dignity'!$C$2:$C$13,Input!C13))</f>
        <v/>
      </c>
      <c r="D52" s="4">
        <f>IF(Input!B13="","",Input!G13)</f>
        <v/>
      </c>
      <c r="E52" s="4">
        <f t="array" ref="E52">IF(Input!C13="","",INDEX('Reference Data'!F$2:F$13,Input!C13))</f>
        <v/>
      </c>
      <c r="F52" s="22">
        <f t="array" ref="F52">IF(Input!C13="","",INDEX('Reference Data'!U$2:U$13,Input!C13))</f>
        <v/>
      </c>
    </row>
    <row r="53" ht="30" customHeight="1">
      <c r="A53" s="7" t="inlineStr">
        <is>
          <t>Moon (Chandra)</t>
        </is>
      </c>
      <c r="B53" s="4">
        <f>IF(Input!B14="","",LEFT(Input!B14,FIND(" - ",Input!B14)-1)&amp;" ("&amp;MID(Input!B14,FIND(" - ",Input!B14)+3,100)&amp;")")</f>
        <v/>
      </c>
      <c r="C53" s="22">
        <f t="array" ref="C53">IF(Input!C14="","",INDEX('Planet Dignity'!$C$2:$C$13,Input!C14))</f>
        <v/>
      </c>
      <c r="D53" s="4">
        <f>IF(Input!B14="","",Input!G14)</f>
        <v/>
      </c>
      <c r="E53" s="4">
        <f t="array" ref="E53">IF(Input!C14="","",INDEX('Reference Data'!F$2:F$13,Input!C14))</f>
        <v/>
      </c>
      <c r="F53" s="22">
        <f t="array" ref="F53">IF(Input!C14="","",INDEX('Reference Data'!U$2:U$13,Input!C14))</f>
        <v/>
      </c>
    </row>
    <row r="54" ht="30" customHeight="1">
      <c r="A54" s="7" t="inlineStr">
        <is>
          <t>Mars (Mangala)</t>
        </is>
      </c>
      <c r="B54" s="4">
        <f>IF(Input!B15="","",LEFT(Input!B15,FIND(" - ",Input!B15)-1)&amp;" ("&amp;MID(Input!B15,FIND(" - ",Input!B15)+3,100)&amp;")")</f>
        <v/>
      </c>
      <c r="C54" s="22">
        <f t="array" ref="C54">IF(Input!C15="","",INDEX('Planet Dignity'!$C$2:$C$13,Input!C15))</f>
        <v/>
      </c>
      <c r="D54" s="4">
        <f>IF(Input!B15="","",Input!G15)</f>
        <v/>
      </c>
      <c r="E54" s="4">
        <f t="array" ref="E54">IF(Input!C15="","",INDEX('Reference Data'!F$2:F$13,Input!C15))</f>
        <v/>
      </c>
      <c r="F54" s="22">
        <f t="array" ref="F54">IF(Input!C15="","",INDEX('Reference Data'!U$2:U$13,Input!C15))</f>
        <v/>
      </c>
    </row>
    <row r="55" ht="30" customHeight="1">
      <c r="A55" s="7" t="inlineStr">
        <is>
          <t>Mercury (Budha)</t>
        </is>
      </c>
      <c r="B55" s="4">
        <f>IF(Input!B16="","",LEFT(Input!B16,FIND(" - ",Input!B16)-1)&amp;" ("&amp;MID(Input!B16,FIND(" - ",Input!B16)+3,100)&amp;")")</f>
        <v/>
      </c>
      <c r="C55" s="22">
        <f t="array" ref="C55">IF(Input!C16="","",INDEX('Planet Dignity'!$C$2:$C$13,Input!C16))</f>
        <v/>
      </c>
      <c r="D55" s="4">
        <f>IF(Input!B16="","",Input!G16)</f>
        <v/>
      </c>
      <c r="E55" s="4">
        <f t="array" ref="E55">IF(Input!C16="","",INDEX('Reference Data'!F$2:F$13,Input!C16))</f>
        <v/>
      </c>
      <c r="F55" s="22">
        <f t="array" ref="F55">IF(Input!C16="","",INDEX('Reference Data'!U$2:U$13,Input!C16))</f>
        <v/>
      </c>
    </row>
    <row r="56" ht="30" customHeight="1">
      <c r="A56" s="7" t="inlineStr">
        <is>
          <t>Jupiter (Guru)</t>
        </is>
      </c>
      <c r="B56" s="4">
        <f>IF(Input!B17="","",LEFT(Input!B17,FIND(" - ",Input!B17)-1)&amp;" ("&amp;MID(Input!B17,FIND(" - ",Input!B17)+3,100)&amp;")")</f>
        <v/>
      </c>
      <c r="C56" s="22">
        <f t="array" ref="C56">IF(Input!C17="","",INDEX('Planet Dignity'!$C$2:$C$13,Input!C17))</f>
        <v/>
      </c>
      <c r="D56" s="4">
        <f>IF(Input!B17="","",Input!G17)</f>
        <v/>
      </c>
      <c r="E56" s="4">
        <f t="array" ref="E56">IF(Input!C17="","",INDEX('Reference Data'!F$2:F$13,Input!C17))</f>
        <v/>
      </c>
      <c r="F56" s="22">
        <f t="array" ref="F56">IF(Input!C17="","",INDEX('Reference Data'!U$2:U$13,Input!C17))</f>
        <v/>
      </c>
    </row>
    <row r="57" ht="30" customHeight="1">
      <c r="A57" s="7" t="inlineStr">
        <is>
          <t>Venus (Shukra)</t>
        </is>
      </c>
      <c r="B57" s="4">
        <f>IF(Input!B18="","",LEFT(Input!B18,FIND(" - ",Input!B18)-1)&amp;" ("&amp;MID(Input!B18,FIND(" - ",Input!B18)+3,100)&amp;")")</f>
        <v/>
      </c>
      <c r="C57" s="22">
        <f t="array" ref="C57">IF(Input!C18="","",INDEX('Planet Dignity'!$C$2:$C$13,Input!C18))</f>
        <v/>
      </c>
      <c r="D57" s="4">
        <f>IF(Input!B18="","",Input!G18)</f>
        <v/>
      </c>
      <c r="E57" s="4">
        <f t="array" ref="E57">IF(Input!C18="","",INDEX('Reference Data'!F$2:F$13,Input!C18))</f>
        <v/>
      </c>
      <c r="F57" s="22">
        <f t="array" ref="F57">IF(Input!C18="","",INDEX('Reference Data'!U$2:U$13,Input!C18))</f>
        <v/>
      </c>
    </row>
    <row r="58" ht="30" customHeight="1">
      <c r="A58" s="7" t="inlineStr">
        <is>
          <t>Saturn (Shani)</t>
        </is>
      </c>
      <c r="B58" s="4">
        <f>IF(Input!B19="","",LEFT(Input!B19,FIND(" - ",Input!B19)-1)&amp;" ("&amp;MID(Input!B19,FIND(" - ",Input!B19)+3,100)&amp;")")</f>
        <v/>
      </c>
      <c r="C58" s="22">
        <f t="array" ref="C58">IF(Input!C19="","",INDEX('Planet Dignity'!$C$2:$C$13,Input!C19))</f>
        <v/>
      </c>
      <c r="D58" s="4">
        <f>IF(Input!B19="","",Input!G19)</f>
        <v/>
      </c>
      <c r="E58" s="4">
        <f t="array" ref="E58">IF(Input!C19="","",INDEX('Reference Data'!F$2:F$13,Input!C19))</f>
        <v/>
      </c>
      <c r="F58" s="22">
        <f t="array" ref="F58">IF(Input!C19="","",INDEX('Reference Data'!U$2:U$13,Input!C19))</f>
        <v/>
      </c>
    </row>
    <row r="59" ht="30" customHeight="1">
      <c r="A59" s="8" t="inlineStr">
        <is>
          <t>Rahu</t>
        </is>
      </c>
      <c r="B59" s="4">
        <f>IF(Input!B20="","",LEFT(Input!B20,FIND(" - ",Input!B20)-1)&amp;" ("&amp;MID(Input!B20,FIND(" - ",Input!B20)+3,100)&amp;")")</f>
        <v/>
      </c>
      <c r="C59" s="22">
        <f t="array" ref="C59">IF(Input!C20="","",INDEX('Planet Dignity'!$C$2:$C$13,Input!C20))</f>
        <v/>
      </c>
      <c r="D59" s="4">
        <f>IF(Input!B20="","",Input!G20)</f>
        <v/>
      </c>
      <c r="E59" s="4">
        <f t="array" ref="E59">IF(Input!C20="","",INDEX('Reference Data'!F$2:F$13,Input!C20))</f>
        <v/>
      </c>
      <c r="F59" s="22">
        <f t="array" ref="F59">IF(Input!C20="","",INDEX('Reference Data'!U$2:U$13,Input!C20))</f>
        <v/>
      </c>
    </row>
    <row r="60" ht="30" customHeight="1">
      <c r="A60" s="8" t="inlineStr">
        <is>
          <t>Ketu</t>
        </is>
      </c>
      <c r="B60" s="4">
        <f>IF(Input!B21="","",LEFT(Input!B21,FIND(" - ",Input!B21)-1)&amp;" ("&amp;MID(Input!B21,FIND(" - ",Input!B21)+3,100)&amp;")")</f>
        <v/>
      </c>
      <c r="C60" s="22">
        <f t="array" ref="C60">IF(Input!C21="","",INDEX('Planet Dignity'!$C$2:$C$13,Input!C21))</f>
        <v/>
      </c>
      <c r="D60" s="4">
        <f>IF(Input!B21="","",Input!G21)</f>
        <v/>
      </c>
      <c r="E60" s="4">
        <f t="array" ref="E60">IF(Input!C21="","",INDEX('Reference Data'!F$2:F$13,Input!C21))</f>
        <v/>
      </c>
      <c r="F60" s="22">
        <f t="array" ref="F60">IF(Input!C21="","",INDEX('Reference Data'!U$2:U$13,Input!C21))</f>
        <v/>
      </c>
    </row>
    <row r="61">
      <c r="C61" s="1" t="n"/>
    </row>
    <row r="62" ht="17.25" customHeight="1">
      <c r="A62" s="64" t="inlineStr">
        <is>
          <t>4. SUMMARY STATISTICS</t>
        </is>
      </c>
    </row>
    <row r="63">
      <c r="A63" s="14" t="inlineStr">
        <is>
          <t>Analysis Type</t>
        </is>
      </c>
      <c r="B63" s="14" t="inlineStr">
        <is>
          <t>Result</t>
        </is>
      </c>
      <c r="C63" s="21" t="inlineStr">
        <is>
          <t>Interpretation</t>
        </is>
      </c>
    </row>
    <row r="64">
      <c r="A64" s="16" t="inlineStr">
        <is>
          <t>Planets in Chara Rashis</t>
        </is>
      </c>
      <c r="B64" s="12">
        <f t="array" ref="B64">IF(Input!C13="","",SUMPRODUCT((Input!C13:C21&lt;&gt;"")*1*(INDEX('Reference Data'!E$2:E$13,IF(Input!C13:C21="",1,Input!C13:C21))="Chara")))</f>
        <v/>
      </c>
      <c r="C64" s="18" t="inlineStr">
        <is>
          <t>More planets in Chara = person travels frequently, dynamic lifestyle.</t>
        </is>
      </c>
    </row>
    <row r="65">
      <c r="A65" s="16" t="inlineStr">
        <is>
          <t>Planets in Sthira Rashis</t>
        </is>
      </c>
      <c r="B65" s="12">
        <f t="array" ref="B65">IF(Input!C13="","",SUMPRODUCT((Input!C13:C21&lt;&gt;"")*1*(INDEX('Reference Data'!E$2:E$13,IF(Input!C13:C21="",1,Input!C13:C21))="Sthira")))</f>
        <v/>
      </c>
      <c r="C65" s="18" t="inlineStr">
        <is>
          <t>More planets in Sthira = person prefers stability, stays in one place.</t>
        </is>
      </c>
    </row>
    <row r="66">
      <c r="A66" s="16" t="inlineStr">
        <is>
          <t>Planets in Dwisabhava Rashis</t>
        </is>
      </c>
      <c r="B66" s="12">
        <f t="array" ref="B66">IF(Input!C13="","",SUMPRODUCT((Input!C13:C21&lt;&gt;"")*1*(INDEX('Reference Data'!E$2:E$13,IF(Input!C13:C21="",1,Input!C13:C21))="Dwisabhava")))</f>
        <v/>
      </c>
      <c r="C66" s="18" t="inlineStr">
        <is>
          <t>More in Dwisabhava = adaptable but indecisive, calculative.</t>
        </is>
      </c>
    </row>
    <row r="67">
      <c r="A67" s="12" t="n"/>
      <c r="B67" s="12" t="n"/>
      <c r="C67" s="18" t="n"/>
    </row>
    <row r="68">
      <c r="A68" s="16" t="inlineStr">
        <is>
          <t>Planets in Agni (Fire)</t>
        </is>
      </c>
      <c r="B68" s="12">
        <f t="array" ref="B68">IF(Input!C13="","",SUMPRODUCT((Input!C13:C21&lt;&gt;"")*1*(INDEX('Reference Data'!F$2:F$13,IF(Input!C13:C21="",1,Input!C13:C21))="Agni")))</f>
        <v/>
      </c>
      <c r="C68" s="18" t="inlineStr">
        <is>
          <t>Fire dominant: Energetic, assertive, leadership qualities.</t>
        </is>
      </c>
    </row>
    <row r="69">
      <c r="A69" s="16" t="inlineStr">
        <is>
          <t>Planets in Prithvi (Earth)</t>
        </is>
      </c>
      <c r="B69" s="12">
        <f t="array" ref="B69">IF(Input!C13="","",SUMPRODUCT((Input!C13:C21&lt;&gt;"")*1*(INDEX('Reference Data'!F$2:F$13,IF(Input!C13:C21="",1,Input!C13:C21))="Prithvi")))</f>
        <v/>
      </c>
      <c r="C69" s="18" t="inlineStr">
        <is>
          <t>Earth dominant: Practical, stable, materialistic.</t>
        </is>
      </c>
    </row>
    <row r="70">
      <c r="A70" s="16" t="inlineStr">
        <is>
          <t>Planets in Vayu (Air)</t>
        </is>
      </c>
      <c r="B70" s="12">
        <f t="array" ref="B70">IF(Input!C13="","",SUMPRODUCT((Input!C13:C21&lt;&gt;"")*1*(INDEX('Reference Data'!F$2:F$13,IF(Input!C13:C21="",1,Input!C13:C21))="Vayu")))</f>
        <v/>
      </c>
      <c r="C70" s="18" t="inlineStr">
        <is>
          <t>Air dominant: Intellectual, creative, restless mind.</t>
        </is>
      </c>
    </row>
    <row r="71">
      <c r="A71" s="16" t="inlineStr">
        <is>
          <t>Planets in Jala (Water)</t>
        </is>
      </c>
      <c r="B71" s="12">
        <f t="array" ref="B71">IF(Input!C13="","",SUMPRODUCT((Input!C13:C21&lt;&gt;"")*1*(INDEX('Reference Data'!F$2:F$13,IF(Input!C13:C21="",1,Input!C13:C21))="Jala")))</f>
        <v/>
      </c>
      <c r="C71" s="18" t="inlineStr">
        <is>
          <t>Water dominant: Emotional, intuitive, compassionate.</t>
        </is>
      </c>
    </row>
    <row r="72">
      <c r="A72" s="12" t="n"/>
      <c r="B72" s="12" t="n"/>
      <c r="C72" s="18" t="n"/>
    </row>
    <row r="73">
      <c r="A73" s="16" t="inlineStr">
        <is>
          <t>Exalted Planets</t>
        </is>
      </c>
      <c r="B73" s="12">
        <f>IF(Input!C13="","",COUNTIF(Input!G13:G21,"*Exalted*"))</f>
        <v/>
      </c>
      <c r="C73" s="18" t="inlineStr">
        <is>
          <t>Exalted planets are very strong and give excellent results in their significations.</t>
        </is>
      </c>
    </row>
    <row r="74">
      <c r="A74" s="16" t="inlineStr">
        <is>
          <t>Debilitated Planets</t>
        </is>
      </c>
      <c r="B74" s="12">
        <f>IF(Input!C13="","",COUNTIF(Input!G13:G21,"*Debilitated*"))</f>
        <v/>
      </c>
      <c r="C74" s="18" t="inlineStr">
        <is>
          <t>Debilitated planets are weak and may cause challenges in their areas.</t>
        </is>
      </c>
    </row>
    <row r="75">
      <c r="A75" s="17" t="inlineStr">
        <is>
          <t>Own House Planets</t>
        </is>
      </c>
      <c r="B75" s="20">
        <f>IF(Input!C13="","",COUNTIF(Input!G13:G21,"*Own House*"))</f>
        <v/>
      </c>
      <c r="C75" s="15" t="inlineStr">
        <is>
          <t>Planets in own house are comfortable and give good, balanced results.</t>
        </is>
      </c>
    </row>
    <row r="76">
      <c r="C76" s="1" t="n"/>
    </row>
    <row r="77" ht="17.25" customHeight="1">
      <c r="A77" s="64" t="inlineStr">
        <is>
          <t>5. REMEDIAL MEASURES (PARIHARA) BASED ON TATWA</t>
        </is>
      </c>
    </row>
    <row r="78">
      <c r="A78" s="3" t="inlineStr">
        <is>
          <t>Lagna Tatwa</t>
        </is>
      </c>
      <c r="B78" s="3" t="inlineStr">
        <is>
          <t>Recommended Remedy</t>
        </is>
      </c>
      <c r="C78" s="11" t="inlineStr">
        <is>
          <t>Explanation</t>
        </is>
      </c>
    </row>
    <row r="79">
      <c r="A79" s="2">
        <f t="array" ref="A79">IF(Input!C12="","",INDEX('Reference Data'!F$2:F$13,Input!C12))</f>
        <v/>
      </c>
      <c r="B79">
        <f>IF(A79="","",IF(A79="Agni","Homa / Lighting of Lamps",IF(A79="Jala","Abhisheka / Visit Teertha Sthanas",IF(A79="Vayu","Chanting of Mantras","Charity / Daan"))))</f>
        <v/>
      </c>
      <c r="C79" s="1">
        <f>IF(A79="","",IF(A79="Agni","For Agni tatwa rashis, perform Homa (fire rituals) or light lamps as remedy.",IF(A79="Jala","For Jala tatwa rashis, perform Abhisheka (water offerings) or visit sacred water bodies.",IF(A79="Vayu","For Vayu tatwa rashis, chant mantras as the primary remedy.","For Prithvi tatwa rashis, give charity (Daan) as the primary remedy."))))</f>
        <v/>
      </c>
    </row>
  </sheetData>
  <mergeCells count="7">
    <mergeCell ref="A2:F2"/>
    <mergeCell ref="A1:F1"/>
    <mergeCell ref="A50:F50"/>
    <mergeCell ref="A4:F4"/>
    <mergeCell ref="A62:F62"/>
    <mergeCell ref="A77:F77"/>
    <mergeCell ref="A25:F25"/>
  </mergeCells>
  <conditionalFormatting sqref="D52:D60">
    <cfRule type="containsText" priority="1" operator="containsText" dxfId="2" text="Exalted">
      <formula>NOT(ISERROR(SEARCH("Exalted",D52)))</formula>
    </cfRule>
    <cfRule type="containsText" priority="2" operator="containsText" dxfId="1" text="Debilitated">
      <formula>NOT(ISERROR(SEARCH("Debilitated",D52)))</formula>
    </cfRule>
    <cfRule type="containsText" priority="3" operator="containsText" dxfId="0" text="Own House">
      <formula>NOT(ISERROR(SEARCH("Own House",D52)))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topLeftCell="Q1" workbookViewId="0">
      <selection activeCell="T17" sqref="T17"/>
    </sheetView>
  </sheetViews>
  <sheetFormatPr baseColWidth="8" defaultRowHeight="15"/>
  <cols>
    <col width="11.42578125" customWidth="1" min="1" max="1"/>
    <col width="21" customWidth="1" min="2" max="2"/>
    <col width="19" customWidth="1" min="3" max="3"/>
    <col width="24.7109375" customWidth="1" min="4" max="19"/>
    <col width="53.28515625" customWidth="1" min="20" max="20"/>
    <col width="66.7109375" customWidth="1" min="21" max="21"/>
  </cols>
  <sheetData>
    <row r="1">
      <c r="A1" s="28" t="inlineStr">
        <is>
          <t>House</t>
        </is>
      </c>
      <c r="B1" s="28" t="inlineStr">
        <is>
          <t>Sanskrit Name</t>
        </is>
      </c>
      <c r="C1" s="28" t="inlineStr">
        <is>
          <t>English Name</t>
        </is>
      </c>
      <c r="D1" s="28" t="inlineStr">
        <is>
          <t>Odd/Even</t>
        </is>
      </c>
      <c r="E1" s="28" t="inlineStr">
        <is>
          <t>Chara/Sthira/Dwisabhava</t>
        </is>
      </c>
      <c r="F1" s="28" t="inlineStr">
        <is>
          <t>Tatwa (Element)</t>
        </is>
      </c>
      <c r="G1" s="28" t="inlineStr">
        <is>
          <t>Direction</t>
        </is>
      </c>
      <c r="H1" s="28" t="inlineStr">
        <is>
          <t>Varna</t>
        </is>
      </c>
      <c r="I1" s="28" t="inlineStr">
        <is>
          <t>Purushartha</t>
        </is>
      </c>
      <c r="J1" s="28" t="inlineStr">
        <is>
          <t>Triguna</t>
        </is>
      </c>
      <c r="K1" s="28" t="inlineStr">
        <is>
          <t>Constitution</t>
        </is>
      </c>
      <c r="L1" s="28" t="inlineStr">
        <is>
          <t>Fertility</t>
        </is>
      </c>
      <c r="M1" s="28" t="inlineStr">
        <is>
          <t>Day/Night</t>
        </is>
      </c>
      <c r="N1" s="28" t="inlineStr">
        <is>
          <t>Rising Position</t>
        </is>
      </c>
      <c r="O1" s="28" t="inlineStr">
        <is>
          <t>Legs</t>
        </is>
      </c>
      <c r="P1" s="28" t="inlineStr">
        <is>
          <t>Tridosha</t>
        </is>
      </c>
      <c r="Q1" s="28" t="inlineStr">
        <is>
          <t>Colour</t>
        </is>
      </c>
      <c r="R1" s="28" t="inlineStr">
        <is>
          <t>Place</t>
        </is>
      </c>
      <c r="S1" s="28" t="inlineStr">
        <is>
          <t>Jyothirlinga</t>
        </is>
      </c>
      <c r="T1" s="28" t="inlineStr">
        <is>
          <t>Body Part</t>
        </is>
      </c>
      <c r="U1" s="28" t="inlineStr">
        <is>
          <t>Mindset / Personality</t>
        </is>
      </c>
    </row>
    <row r="2" ht="30" customHeight="1">
      <c r="A2" s="4" t="n">
        <v>1</v>
      </c>
      <c r="B2" s="4" t="inlineStr">
        <is>
          <t>Mesha</t>
        </is>
      </c>
      <c r="C2" s="4" t="inlineStr">
        <is>
          <t>Aries</t>
        </is>
      </c>
      <c r="D2" s="4" t="inlineStr">
        <is>
          <t>Odd (Male)</t>
        </is>
      </c>
      <c r="E2" s="4" t="inlineStr">
        <is>
          <t>Chara</t>
        </is>
      </c>
      <c r="F2" s="4" t="inlineStr">
        <is>
          <t>Agni</t>
        </is>
      </c>
      <c r="G2" s="4" t="inlineStr">
        <is>
          <t>East</t>
        </is>
      </c>
      <c r="H2" s="4" t="inlineStr">
        <is>
          <t>Kshatriya</t>
        </is>
      </c>
      <c r="I2" s="4" t="inlineStr">
        <is>
          <t>Dharma</t>
        </is>
      </c>
      <c r="J2" s="4" t="inlineStr">
        <is>
          <t>Rajasika</t>
        </is>
      </c>
      <c r="K2" s="4" t="inlineStr">
        <is>
          <t>Dhatu</t>
        </is>
      </c>
      <c r="L2" s="4" t="inlineStr">
        <is>
          <t>Barren</t>
        </is>
      </c>
      <c r="M2" s="4" t="inlineStr">
        <is>
          <t>Nocturnal</t>
        </is>
      </c>
      <c r="N2" s="4" t="inlineStr">
        <is>
          <t>Prushtodaya</t>
        </is>
      </c>
      <c r="O2" s="4" t="inlineStr">
        <is>
          <t>Chatuspada</t>
        </is>
      </c>
      <c r="P2" s="4" t="inlineStr">
        <is>
          <t>Pitha</t>
        </is>
      </c>
      <c r="Q2" s="4" t="inlineStr">
        <is>
          <t>Red</t>
        </is>
      </c>
      <c r="R2" s="4" t="inlineStr">
        <is>
          <t>Forest</t>
        </is>
      </c>
      <c r="S2" s="4" t="inlineStr">
        <is>
          <t>Rameshwaram</t>
        </is>
      </c>
      <c r="T2" s="4" t="inlineStr">
        <is>
          <t>Head, Brain, Skull</t>
        </is>
      </c>
      <c r="U2" s="22" t="inlineStr">
        <is>
          <t>Energetic, Active, Aggressive, Initiative, Impulsive, Restless, Bold, Wants to Lead</t>
        </is>
      </c>
    </row>
    <row r="3" ht="30" customHeight="1">
      <c r="A3" s="29" t="n">
        <v>2</v>
      </c>
      <c r="B3" s="29" t="inlineStr">
        <is>
          <t>Vrishaba</t>
        </is>
      </c>
      <c r="C3" s="29" t="inlineStr">
        <is>
          <t>Taurus</t>
        </is>
      </c>
      <c r="D3" s="29" t="inlineStr">
        <is>
          <t>Even (Female)</t>
        </is>
      </c>
      <c r="E3" s="29" t="inlineStr">
        <is>
          <t>Sthira</t>
        </is>
      </c>
      <c r="F3" s="29" t="inlineStr">
        <is>
          <t>Prithvi</t>
        </is>
      </c>
      <c r="G3" s="29" t="inlineStr">
        <is>
          <t>South</t>
        </is>
      </c>
      <c r="H3" s="29" t="inlineStr">
        <is>
          <t>Vysya</t>
        </is>
      </c>
      <c r="I3" s="29" t="inlineStr">
        <is>
          <t>Artha</t>
        </is>
      </c>
      <c r="J3" s="29" t="inlineStr">
        <is>
          <t>Rajasika</t>
        </is>
      </c>
      <c r="K3" s="29" t="inlineStr">
        <is>
          <t>Moola</t>
        </is>
      </c>
      <c r="L3" s="29" t="inlineStr">
        <is>
          <t>Semi Fruitful</t>
        </is>
      </c>
      <c r="M3" s="29" t="inlineStr">
        <is>
          <t>Nocturnal</t>
        </is>
      </c>
      <c r="N3" s="29" t="inlineStr">
        <is>
          <t>Prushtodaya</t>
        </is>
      </c>
      <c r="O3" s="29" t="inlineStr">
        <is>
          <t>Chatuspada</t>
        </is>
      </c>
      <c r="P3" s="29" t="inlineStr">
        <is>
          <t>Vatha</t>
        </is>
      </c>
      <c r="Q3" s="29" t="inlineStr">
        <is>
          <t>White</t>
        </is>
      </c>
      <c r="R3" s="29" t="inlineStr">
        <is>
          <t>Agricultural land</t>
        </is>
      </c>
      <c r="S3" s="29" t="inlineStr">
        <is>
          <t>Somnatheshwara</t>
        </is>
      </c>
      <c r="T3" s="29" t="inlineStr">
        <is>
          <t>Face, Eyes (right), Mouth, Throat, Vocal cords</t>
        </is>
      </c>
      <c r="U3" s="30" t="inlineStr">
        <is>
          <t>Stability, Focused, Practical, Patience, Nourishment, Charming, Stubborn</t>
        </is>
      </c>
    </row>
    <row r="4" ht="30" customHeight="1">
      <c r="A4" s="4" t="n">
        <v>3</v>
      </c>
      <c r="B4" s="4" t="inlineStr">
        <is>
          <t>Mithuna</t>
        </is>
      </c>
      <c r="C4" s="4" t="inlineStr">
        <is>
          <t>Gemini</t>
        </is>
      </c>
      <c r="D4" s="4" t="inlineStr">
        <is>
          <t>Odd (Male)</t>
        </is>
      </c>
      <c r="E4" s="4" t="inlineStr">
        <is>
          <t>Dwisabhava</t>
        </is>
      </c>
      <c r="F4" s="4" t="inlineStr">
        <is>
          <t>Vayu</t>
        </is>
      </c>
      <c r="G4" s="4" t="inlineStr">
        <is>
          <t>West</t>
        </is>
      </c>
      <c r="H4" s="4" t="inlineStr">
        <is>
          <t>Shudra</t>
        </is>
      </c>
      <c r="I4" s="4" t="inlineStr">
        <is>
          <t>Kama</t>
        </is>
      </c>
      <c r="J4" s="4" t="inlineStr">
        <is>
          <t>Rajasika</t>
        </is>
      </c>
      <c r="K4" s="4" t="inlineStr">
        <is>
          <t>Jeeva</t>
        </is>
      </c>
      <c r="L4" s="4" t="inlineStr">
        <is>
          <t>Barren</t>
        </is>
      </c>
      <c r="M4" s="4" t="inlineStr">
        <is>
          <t>Nocturnal</t>
        </is>
      </c>
      <c r="N4" s="4" t="inlineStr">
        <is>
          <t>Shirsodaya</t>
        </is>
      </c>
      <c r="O4" s="4" t="inlineStr">
        <is>
          <t>Dwipada</t>
        </is>
      </c>
      <c r="P4" s="4" t="inlineStr">
        <is>
          <t>Tridosha</t>
        </is>
      </c>
      <c r="Q4" s="4" t="inlineStr">
        <is>
          <t>Green</t>
        </is>
      </c>
      <c r="R4" s="4" t="inlineStr">
        <is>
          <t>Bedroom</t>
        </is>
      </c>
      <c r="S4" s="4" t="inlineStr">
        <is>
          <t>Nageshwara</t>
        </is>
      </c>
      <c r="T4" s="4" t="inlineStr">
        <is>
          <t>Neck, Shoulders, Arms, Hands, Lungs (upper), Nervous system</t>
        </is>
      </c>
      <c r="U4" s="22" t="inlineStr">
        <is>
          <t>Good communication, Intelligent, Artistic, Humorous, Multitasking, Creative, Adaptable, Fickle minded</t>
        </is>
      </c>
    </row>
    <row r="5" ht="30" customHeight="1">
      <c r="A5" s="29" t="n">
        <v>4</v>
      </c>
      <c r="B5" s="29" t="inlineStr">
        <is>
          <t>Karkataka</t>
        </is>
      </c>
      <c r="C5" s="29" t="inlineStr">
        <is>
          <t>Cancer</t>
        </is>
      </c>
      <c r="D5" s="29" t="inlineStr">
        <is>
          <t>Even (Female)</t>
        </is>
      </c>
      <c r="E5" s="29" t="inlineStr">
        <is>
          <t>Chara</t>
        </is>
      </c>
      <c r="F5" s="29" t="inlineStr">
        <is>
          <t>Jala</t>
        </is>
      </c>
      <c r="G5" s="29" t="inlineStr">
        <is>
          <t>North</t>
        </is>
      </c>
      <c r="H5" s="29" t="inlineStr">
        <is>
          <t>Brahmin</t>
        </is>
      </c>
      <c r="I5" s="29" t="inlineStr">
        <is>
          <t>Moksha</t>
        </is>
      </c>
      <c r="J5" s="29" t="inlineStr">
        <is>
          <t>Sathvik</t>
        </is>
      </c>
      <c r="K5" s="29" t="inlineStr">
        <is>
          <t>Dhatu</t>
        </is>
      </c>
      <c r="L5" s="29" t="inlineStr">
        <is>
          <t>Fruitful</t>
        </is>
      </c>
      <c r="M5" s="29" t="inlineStr">
        <is>
          <t>Nocturnal</t>
        </is>
      </c>
      <c r="N5" s="29" t="inlineStr">
        <is>
          <t>Prushtodaya</t>
        </is>
      </c>
      <c r="O5" s="29" t="inlineStr">
        <is>
          <t>Jalachara</t>
        </is>
      </c>
      <c r="P5" s="29" t="inlineStr">
        <is>
          <t>Kapha</t>
        </is>
      </c>
      <c r="Q5" s="29" t="inlineStr">
        <is>
          <t>Pink</t>
        </is>
      </c>
      <c r="R5" s="29" t="inlineStr">
        <is>
          <t>River</t>
        </is>
      </c>
      <c r="S5" s="29" t="inlineStr">
        <is>
          <t>Omkareshwara</t>
        </is>
      </c>
      <c r="T5" s="29" t="inlineStr">
        <is>
          <t>Chest, Lungs, Breasts, Ribcage, Stomach (upper)</t>
        </is>
      </c>
      <c r="U5" s="30" t="inlineStr">
        <is>
          <t>Emotional, Sensitive, Honest, Mood swings, Motherly nature, Peace loving, Nurturing, Psychic</t>
        </is>
      </c>
    </row>
    <row r="6" ht="30" customHeight="1">
      <c r="A6" s="4" t="n">
        <v>5</v>
      </c>
      <c r="B6" s="4" t="inlineStr">
        <is>
          <t>Simha</t>
        </is>
      </c>
      <c r="C6" s="4" t="inlineStr">
        <is>
          <t>Leo</t>
        </is>
      </c>
      <c r="D6" s="4" t="inlineStr">
        <is>
          <t>Odd (Male)</t>
        </is>
      </c>
      <c r="E6" s="4" t="inlineStr">
        <is>
          <t>Sthira</t>
        </is>
      </c>
      <c r="F6" s="4" t="inlineStr">
        <is>
          <t>Agni</t>
        </is>
      </c>
      <c r="G6" s="4" t="inlineStr">
        <is>
          <t>East</t>
        </is>
      </c>
      <c r="H6" s="4" t="inlineStr">
        <is>
          <t>Kshatriya</t>
        </is>
      </c>
      <c r="I6" s="4" t="inlineStr">
        <is>
          <t>Dharma</t>
        </is>
      </c>
      <c r="J6" s="4" t="inlineStr">
        <is>
          <t>Sathvik</t>
        </is>
      </c>
      <c r="K6" s="4" t="inlineStr">
        <is>
          <t>Moola</t>
        </is>
      </c>
      <c r="L6" s="4" t="inlineStr">
        <is>
          <t>Barren</t>
        </is>
      </c>
      <c r="M6" s="4" t="inlineStr">
        <is>
          <t>Diurnal</t>
        </is>
      </c>
      <c r="N6" s="4" t="inlineStr">
        <is>
          <t>Shirsodaya</t>
        </is>
      </c>
      <c r="O6" s="4" t="inlineStr">
        <is>
          <t>Vanachara</t>
        </is>
      </c>
      <c r="P6" s="4" t="inlineStr">
        <is>
          <t>Pitha</t>
        </is>
      </c>
      <c r="Q6" s="4" t="inlineStr">
        <is>
          <t>Off white</t>
        </is>
      </c>
      <c r="R6" s="4" t="inlineStr">
        <is>
          <t>Mountain</t>
        </is>
      </c>
      <c r="S6" s="4" t="inlineStr">
        <is>
          <t>Vaidyanath</t>
        </is>
      </c>
      <c r="T6" s="4" t="inlineStr">
        <is>
          <t>Heart, Spine, Upper back, Bones, Eyes (Sun's karaka)</t>
        </is>
      </c>
      <c r="U6" s="22" t="inlineStr">
        <is>
          <t>Energetic, Aggressive, Egoistic, Good in administration, Generous, Dominating, Leaders, Self respect</t>
        </is>
      </c>
    </row>
    <row r="7" ht="30" customHeight="1">
      <c r="A7" s="29" t="n">
        <v>6</v>
      </c>
      <c r="B7" s="29" t="inlineStr">
        <is>
          <t>Kanya</t>
        </is>
      </c>
      <c r="C7" s="29" t="inlineStr">
        <is>
          <t>Virgo</t>
        </is>
      </c>
      <c r="D7" s="29" t="inlineStr">
        <is>
          <t>Even (Female)</t>
        </is>
      </c>
      <c r="E7" s="29" t="inlineStr">
        <is>
          <t>Dwisabhava</t>
        </is>
      </c>
      <c r="F7" s="29" t="inlineStr">
        <is>
          <t>Prithvi</t>
        </is>
      </c>
      <c r="G7" s="29" t="inlineStr">
        <is>
          <t>South</t>
        </is>
      </c>
      <c r="H7" s="29" t="inlineStr">
        <is>
          <t>Vysya</t>
        </is>
      </c>
      <c r="I7" s="29" t="inlineStr">
        <is>
          <t>Artha</t>
        </is>
      </c>
      <c r="J7" s="29" t="inlineStr">
        <is>
          <t>Tamasika</t>
        </is>
      </c>
      <c r="K7" s="29" t="inlineStr">
        <is>
          <t>Jeeva</t>
        </is>
      </c>
      <c r="L7" s="29" t="inlineStr">
        <is>
          <t>Barren</t>
        </is>
      </c>
      <c r="M7" s="29" t="inlineStr">
        <is>
          <t>Diurnal</t>
        </is>
      </c>
      <c r="N7" s="29" t="inlineStr">
        <is>
          <t>Shirsodaya</t>
        </is>
      </c>
      <c r="O7" s="29" t="inlineStr">
        <is>
          <t>Dwipada</t>
        </is>
      </c>
      <c r="P7" s="29" t="inlineStr">
        <is>
          <t>Vatha</t>
        </is>
      </c>
      <c r="Q7" s="29" t="inlineStr">
        <is>
          <t>Variegated</t>
        </is>
      </c>
      <c r="R7" s="29" t="inlineStr">
        <is>
          <t>Gardens</t>
        </is>
      </c>
      <c r="S7" s="29" t="inlineStr">
        <is>
          <t>Mallikarjuna</t>
        </is>
      </c>
      <c r="T7" s="29" t="inlineStr">
        <is>
          <t>Stomach (lower), Intestines, Digestive system, Abdomen, Navel</t>
        </is>
      </c>
      <c r="U7" s="30" t="inlineStr">
        <is>
          <t>Practical, Critical, Perfectionist, Cleanliness, Observant, Intelligent, Reserved, Organised, Analytical</t>
        </is>
      </c>
    </row>
    <row r="8" ht="30" customHeight="1">
      <c r="A8" s="4" t="n">
        <v>7</v>
      </c>
      <c r="B8" s="4" t="inlineStr">
        <is>
          <t>Tula</t>
        </is>
      </c>
      <c r="C8" s="4" t="inlineStr">
        <is>
          <t>Libra</t>
        </is>
      </c>
      <c r="D8" s="4" t="inlineStr">
        <is>
          <t>Odd (Male)</t>
        </is>
      </c>
      <c r="E8" s="4" t="inlineStr">
        <is>
          <t>Chara</t>
        </is>
      </c>
      <c r="F8" s="4" t="inlineStr">
        <is>
          <t>Vayu</t>
        </is>
      </c>
      <c r="G8" s="4" t="inlineStr">
        <is>
          <t>West</t>
        </is>
      </c>
      <c r="H8" s="4" t="inlineStr">
        <is>
          <t>Shudra</t>
        </is>
      </c>
      <c r="I8" s="4" t="inlineStr">
        <is>
          <t>Kama</t>
        </is>
      </c>
      <c r="J8" s="4" t="inlineStr">
        <is>
          <t>Rajasika</t>
        </is>
      </c>
      <c r="K8" s="4" t="inlineStr">
        <is>
          <t>Dhatu</t>
        </is>
      </c>
      <c r="L8" s="4" t="inlineStr">
        <is>
          <t>Semi Fruitful</t>
        </is>
      </c>
      <c r="M8" s="4" t="inlineStr">
        <is>
          <t>Diurnal</t>
        </is>
      </c>
      <c r="N8" s="4" t="inlineStr">
        <is>
          <t>Shirsodaya</t>
        </is>
      </c>
      <c r="O8" s="4" t="inlineStr">
        <is>
          <t>Dwipada</t>
        </is>
      </c>
      <c r="P8" s="4" t="inlineStr">
        <is>
          <t>Vatha</t>
        </is>
      </c>
      <c r="Q8" s="4" t="inlineStr">
        <is>
          <t>Black</t>
        </is>
      </c>
      <c r="R8" s="4" t="inlineStr">
        <is>
          <t>Business Place</t>
        </is>
      </c>
      <c r="S8" s="4" t="inlineStr">
        <is>
          <t>Mahakaleshwar</t>
        </is>
      </c>
      <c r="T8" s="4" t="inlineStr">
        <is>
          <t>Lower abdomen, Kidneys, Lumbar region, Lower back, Skin</t>
        </is>
      </c>
      <c r="U8" s="22" t="inlineStr">
        <is>
          <t>Attractive, Extroverts, Well Mannered, Peace makers, Diplomatic, Good negotiators, Business minded</t>
        </is>
      </c>
    </row>
    <row r="9" ht="30" customHeight="1">
      <c r="A9" s="29" t="n">
        <v>8</v>
      </c>
      <c r="B9" s="29" t="inlineStr">
        <is>
          <t>Vrischika</t>
        </is>
      </c>
      <c r="C9" s="29" t="inlineStr">
        <is>
          <t>Scorpio</t>
        </is>
      </c>
      <c r="D9" s="29" t="inlineStr">
        <is>
          <t>Even (Female)</t>
        </is>
      </c>
      <c r="E9" s="29" t="inlineStr">
        <is>
          <t>Sthira</t>
        </is>
      </c>
      <c r="F9" s="29" t="inlineStr">
        <is>
          <t>Jala</t>
        </is>
      </c>
      <c r="G9" s="29" t="inlineStr">
        <is>
          <t>North</t>
        </is>
      </c>
      <c r="H9" s="29" t="inlineStr">
        <is>
          <t>Brahmin</t>
        </is>
      </c>
      <c r="I9" s="29" t="inlineStr">
        <is>
          <t>Moksha</t>
        </is>
      </c>
      <c r="J9" s="29" t="inlineStr">
        <is>
          <t>Rajasika</t>
        </is>
      </c>
      <c r="K9" s="29" t="inlineStr">
        <is>
          <t>Moola</t>
        </is>
      </c>
      <c r="L9" s="29" t="inlineStr">
        <is>
          <t>Fruitful</t>
        </is>
      </c>
      <c r="M9" s="29" t="inlineStr">
        <is>
          <t>Diurnal</t>
        </is>
      </c>
      <c r="N9" s="29" t="inlineStr">
        <is>
          <t>Shirsodaya</t>
        </is>
      </c>
      <c r="O9" s="29" t="inlineStr">
        <is>
          <t>Keeta</t>
        </is>
      </c>
      <c r="P9" s="29" t="inlineStr">
        <is>
          <t>Kapha</t>
        </is>
      </c>
      <c r="Q9" s="29" t="inlineStr">
        <is>
          <t>Saffron</t>
        </is>
      </c>
      <c r="R9" s="29" t="inlineStr">
        <is>
          <t>Hole / Cavity</t>
        </is>
      </c>
      <c r="S9" s="29" t="inlineStr">
        <is>
          <t>Grishneshwar</t>
        </is>
      </c>
      <c r="T9" s="29" t="inlineStr">
        <is>
          <t>Reproductive organs, Genitals, Bladder, Excretory system, Pelvis</t>
        </is>
      </c>
      <c r="U9" s="30" t="inlineStr">
        <is>
          <t>Secretive, Pessimistic, Possessive, Good researchers, Revenge, Mood swings, Good imagination, Anxiety</t>
        </is>
      </c>
    </row>
    <row r="10" ht="30" customHeight="1">
      <c r="A10" s="4" t="n">
        <v>9</v>
      </c>
      <c r="B10" s="4" t="inlineStr">
        <is>
          <t>Dhanur</t>
        </is>
      </c>
      <c r="C10" s="4" t="inlineStr">
        <is>
          <t>Sagittarius</t>
        </is>
      </c>
      <c r="D10" s="4" t="inlineStr">
        <is>
          <t>Odd (Male)</t>
        </is>
      </c>
      <c r="E10" s="4" t="inlineStr">
        <is>
          <t>Dwisabhava</t>
        </is>
      </c>
      <c r="F10" s="4" t="inlineStr">
        <is>
          <t>Agni</t>
        </is>
      </c>
      <c r="G10" s="4" t="inlineStr">
        <is>
          <t>East</t>
        </is>
      </c>
      <c r="H10" s="4" t="inlineStr">
        <is>
          <t>Kshatriya</t>
        </is>
      </c>
      <c r="I10" s="4" t="inlineStr">
        <is>
          <t>Dharma</t>
        </is>
      </c>
      <c r="J10" s="4" t="inlineStr">
        <is>
          <t>Sathvik</t>
        </is>
      </c>
      <c r="K10" s="4" t="inlineStr">
        <is>
          <t>Jeeva</t>
        </is>
      </c>
      <c r="L10" s="4" t="inlineStr">
        <is>
          <t>Semi Fruitful</t>
        </is>
      </c>
      <c r="M10" s="4" t="inlineStr">
        <is>
          <t>Nocturnal</t>
        </is>
      </c>
      <c r="N10" s="4" t="inlineStr">
        <is>
          <t>Prushtodaya</t>
        </is>
      </c>
      <c r="O10" s="4" t="inlineStr">
        <is>
          <t>Dwipada 1st / Chatuspada 2nd</t>
        </is>
      </c>
      <c r="P10" s="4" t="inlineStr">
        <is>
          <t>Pitha</t>
        </is>
      </c>
      <c r="Q10" s="4" t="inlineStr">
        <is>
          <t>Golden</t>
        </is>
      </c>
      <c r="R10" s="4" t="inlineStr">
        <is>
          <t>Palace</t>
        </is>
      </c>
      <c r="S10" s="4" t="inlineStr">
        <is>
          <t>Kashi Vishwanath</t>
        </is>
      </c>
      <c r="T10" s="4" t="inlineStr">
        <is>
          <t>Thighs, Hips, Liver, Arterial system</t>
        </is>
      </c>
      <c r="U10" s="22" t="inlineStr">
        <is>
          <t>Fun Loving, Adventurous, Very Optimistic, Confident, Attractive, Traditional, Active, Competitive</t>
        </is>
      </c>
    </row>
    <row r="11" ht="30" customHeight="1">
      <c r="A11" s="29" t="n">
        <v>10</v>
      </c>
      <c r="B11" s="29" t="inlineStr">
        <is>
          <t>Makara</t>
        </is>
      </c>
      <c r="C11" s="29" t="inlineStr">
        <is>
          <t>Capricorn</t>
        </is>
      </c>
      <c r="D11" s="29" t="inlineStr">
        <is>
          <t>Even (Female)</t>
        </is>
      </c>
      <c r="E11" s="29" t="inlineStr">
        <is>
          <t>Chara</t>
        </is>
      </c>
      <c r="F11" s="29" t="inlineStr">
        <is>
          <t>Prithvi</t>
        </is>
      </c>
      <c r="G11" s="29" t="inlineStr">
        <is>
          <t>South</t>
        </is>
      </c>
      <c r="H11" s="29" t="inlineStr">
        <is>
          <t>Vysya</t>
        </is>
      </c>
      <c r="I11" s="29" t="inlineStr">
        <is>
          <t>Artha</t>
        </is>
      </c>
      <c r="J11" s="29" t="inlineStr">
        <is>
          <t>Tamasika</t>
        </is>
      </c>
      <c r="K11" s="29" t="inlineStr">
        <is>
          <t>Dhatu</t>
        </is>
      </c>
      <c r="L11" s="29" t="inlineStr">
        <is>
          <t>Semi Fruitful</t>
        </is>
      </c>
      <c r="M11" s="29" t="inlineStr">
        <is>
          <t>Nocturnal</t>
        </is>
      </c>
      <c r="N11" s="29" t="inlineStr">
        <is>
          <t>Prushtodaya</t>
        </is>
      </c>
      <c r="O11" s="29" t="inlineStr">
        <is>
          <t>Chatuspada 1st / Jalachara 2nd</t>
        </is>
      </c>
      <c r="P11" s="29" t="inlineStr">
        <is>
          <t>Vatha</t>
        </is>
      </c>
      <c r="Q11" s="29" t="inlineStr">
        <is>
          <t>Various colours</t>
        </is>
      </c>
      <c r="R11" s="29" t="inlineStr">
        <is>
          <t>Marshlands</t>
        </is>
      </c>
      <c r="S11" s="29" t="inlineStr">
        <is>
          <t>Bhima Shankara</t>
        </is>
      </c>
      <c r="T11" s="29" t="inlineStr">
        <is>
          <t>Knees, Joints, Bones (lower body), Skin</t>
        </is>
      </c>
      <c r="U11" s="30" t="inlineStr">
        <is>
          <t>Hard Workers, Straight Forward, Methodical, Ambitious, Practical, Rational, Perfectionist, Calculative</t>
        </is>
      </c>
    </row>
    <row r="12" ht="30" customHeight="1">
      <c r="A12" s="4" t="n">
        <v>11</v>
      </c>
      <c r="B12" s="4" t="inlineStr">
        <is>
          <t>Kumbha</t>
        </is>
      </c>
      <c r="C12" s="4" t="inlineStr">
        <is>
          <t>Aquarius</t>
        </is>
      </c>
      <c r="D12" s="4" t="inlineStr">
        <is>
          <t>Odd (Male)</t>
        </is>
      </c>
      <c r="E12" s="4" t="inlineStr">
        <is>
          <t>Sthira</t>
        </is>
      </c>
      <c r="F12" s="4" t="inlineStr">
        <is>
          <t>Vayu</t>
        </is>
      </c>
      <c r="G12" s="4" t="inlineStr">
        <is>
          <t>West</t>
        </is>
      </c>
      <c r="H12" s="4" t="inlineStr">
        <is>
          <t>Shudra</t>
        </is>
      </c>
      <c r="I12" s="4" t="inlineStr">
        <is>
          <t>Kama</t>
        </is>
      </c>
      <c r="J12" s="4" t="inlineStr">
        <is>
          <t>Tamasika</t>
        </is>
      </c>
      <c r="K12" s="4" t="inlineStr">
        <is>
          <t>Moola</t>
        </is>
      </c>
      <c r="L12" s="4" t="inlineStr">
        <is>
          <t>Semi Fruitful</t>
        </is>
      </c>
      <c r="M12" s="4" t="inlineStr">
        <is>
          <t>Diurnal</t>
        </is>
      </c>
      <c r="N12" s="4" t="inlineStr">
        <is>
          <t>Shirsodaya</t>
        </is>
      </c>
      <c r="O12" s="4" t="inlineStr">
        <is>
          <t>Dwipada</t>
        </is>
      </c>
      <c r="P12" s="4" t="inlineStr">
        <is>
          <t>Vatha</t>
        </is>
      </c>
      <c r="Q12" s="4" t="inlineStr">
        <is>
          <t>Dark Brown</t>
        </is>
      </c>
      <c r="R12" s="4" t="inlineStr">
        <is>
          <t>Potters Place</t>
        </is>
      </c>
      <c r="S12" s="4" t="inlineStr">
        <is>
          <t>Kedarnath</t>
        </is>
      </c>
      <c r="T12" s="4" t="inlineStr">
        <is>
          <t>Calves, Ankles, Shins, Circulatory system</t>
        </is>
      </c>
      <c r="U12" s="22" t="inlineStr">
        <is>
          <t>Sharp and quick, Emotional detachment, Stubborn, Mature, Creative, Friendly, Scientific, Philosophical, Rebel</t>
        </is>
      </c>
    </row>
    <row r="13" ht="30" customHeight="1">
      <c r="A13" s="29" t="n">
        <v>12</v>
      </c>
      <c r="B13" s="29" t="inlineStr">
        <is>
          <t>Meena</t>
        </is>
      </c>
      <c r="C13" s="29" t="inlineStr">
        <is>
          <t>Pisces</t>
        </is>
      </c>
      <c r="D13" s="29" t="inlineStr">
        <is>
          <t>Even (Female)</t>
        </is>
      </c>
      <c r="E13" s="29" t="inlineStr">
        <is>
          <t>Dwisabhava</t>
        </is>
      </c>
      <c r="F13" s="29" t="inlineStr">
        <is>
          <t>Jala</t>
        </is>
      </c>
      <c r="G13" s="29" t="inlineStr">
        <is>
          <t>North</t>
        </is>
      </c>
      <c r="H13" s="29" t="inlineStr">
        <is>
          <t>Brahmin</t>
        </is>
      </c>
      <c r="I13" s="29" t="inlineStr">
        <is>
          <t>Moksha</t>
        </is>
      </c>
      <c r="J13" s="29" t="inlineStr">
        <is>
          <t>Sathvik</t>
        </is>
      </c>
      <c r="K13" s="29" t="inlineStr">
        <is>
          <t>Jeeva</t>
        </is>
      </c>
      <c r="L13" s="29" t="inlineStr">
        <is>
          <t>Fruitful</t>
        </is>
      </c>
      <c r="M13" s="29" t="inlineStr">
        <is>
          <t>Diurnal</t>
        </is>
      </c>
      <c r="N13" s="29" t="inlineStr">
        <is>
          <t>Ubhadaya</t>
        </is>
      </c>
      <c r="O13" s="29" t="inlineStr">
        <is>
          <t>Jalachara</t>
        </is>
      </c>
      <c r="P13" s="29" t="inlineStr">
        <is>
          <t>Kapha</t>
        </is>
      </c>
      <c r="Q13" s="29" t="inlineStr">
        <is>
          <t>White</t>
        </is>
      </c>
      <c r="R13" s="29" t="inlineStr">
        <is>
          <t>Ocean</t>
        </is>
      </c>
      <c r="S13" s="29" t="inlineStr">
        <is>
          <t>Tryambakeshwar</t>
        </is>
      </c>
      <c r="T13" s="29" t="inlineStr">
        <is>
          <t>Feet, Toes, Lymphatic system</t>
        </is>
      </c>
      <c r="U13" s="30" t="inlineStr">
        <is>
          <t>Very Moody, Loyal, Loving, Hopeful, Spiritual, Influenced easily, Very emotional, Beautiful, Highly Satvik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1.42578125" customWidth="1" min="1" max="1"/>
    <col width="21" customWidth="1" min="2" max="2"/>
    <col width="17.140625" customWidth="1" min="3" max="3"/>
    <col width="11.42578125" customWidth="1" min="4" max="4"/>
    <col width="24.7109375" customWidth="1" min="5" max="6"/>
    <col width="30.42578125" customWidth="1" min="7" max="10"/>
  </cols>
  <sheetData>
    <row r="1">
      <c r="A1" s="28" t="inlineStr">
        <is>
          <t>House #</t>
        </is>
      </c>
      <c r="B1" s="28" t="inlineStr">
        <is>
          <t>Rashi</t>
        </is>
      </c>
      <c r="C1" s="28" t="inlineStr">
        <is>
          <t>Lord</t>
        </is>
      </c>
      <c r="D1" s="28" t="inlineStr">
        <is>
          <t>MTR</t>
        </is>
      </c>
      <c r="E1" s="28" t="inlineStr">
        <is>
          <t>Exalted Planet</t>
        </is>
      </c>
      <c r="F1" s="28" t="inlineStr">
        <is>
          <t>Debilitated Planet</t>
        </is>
      </c>
      <c r="G1" s="77" t="inlineStr">
        <is>
          <t>Deep Exaltation Degree</t>
        </is>
      </c>
      <c r="H1" s="77" t="inlineStr">
        <is>
          <t>Deep Debilitation Degree</t>
        </is>
      </c>
      <c r="I1" s="77" t="inlineStr">
        <is>
          <t>Moola Trikona Range</t>
        </is>
      </c>
      <c r="J1" s="77" t="inlineStr">
        <is>
          <t>Own House (Swakshetra)</t>
        </is>
      </c>
    </row>
    <row r="2">
      <c r="A2" s="4" t="n">
        <v>1</v>
      </c>
      <c r="B2" s="4" t="inlineStr">
        <is>
          <t>Aries</t>
        </is>
      </c>
      <c r="C2" s="4" t="inlineStr">
        <is>
          <t>Mars</t>
        </is>
      </c>
      <c r="D2" s="4" t="inlineStr">
        <is>
          <t>Yes</t>
        </is>
      </c>
      <c r="E2" s="31" t="inlineStr">
        <is>
          <t>Sun</t>
        </is>
      </c>
      <c r="F2" s="32" t="inlineStr">
        <is>
          <t>Saturn</t>
        </is>
      </c>
      <c r="G2" s="78" t="inlineStr">
        <is>
          <t>10° (Sun)</t>
        </is>
      </c>
    </row>
    <row r="3">
      <c r="A3" s="4" t="n">
        <v>2</v>
      </c>
      <c r="B3" s="4" t="inlineStr">
        <is>
          <t>Taurus</t>
        </is>
      </c>
      <c r="C3" s="4" t="inlineStr">
        <is>
          <t>Venus</t>
        </is>
      </c>
      <c r="D3" s="4" t="n"/>
      <c r="E3" s="31" t="inlineStr">
        <is>
          <t>Rahu, Moon</t>
        </is>
      </c>
      <c r="F3" s="32" t="inlineStr">
        <is>
          <t>Ketu</t>
        </is>
      </c>
    </row>
    <row r="4">
      <c r="A4" s="4" t="n">
        <v>3</v>
      </c>
      <c r="B4" s="4" t="inlineStr">
        <is>
          <t>Gemini</t>
        </is>
      </c>
      <c r="C4" s="4" t="inlineStr">
        <is>
          <t>Mercury</t>
        </is>
      </c>
      <c r="D4" s="4" t="n"/>
      <c r="E4" s="31" t="n"/>
      <c r="F4" s="32" t="n"/>
    </row>
    <row r="5">
      <c r="A5" s="4" t="n">
        <v>4</v>
      </c>
      <c r="B5" s="4" t="inlineStr">
        <is>
          <t>Cancer</t>
        </is>
      </c>
      <c r="C5" s="4" t="inlineStr">
        <is>
          <t>Moon</t>
        </is>
      </c>
      <c r="D5" s="4" t="inlineStr">
        <is>
          <t>Yes</t>
        </is>
      </c>
      <c r="E5" s="31" t="inlineStr">
        <is>
          <t>Jupiter</t>
        </is>
      </c>
      <c r="F5" s="32" t="inlineStr">
        <is>
          <t>Mars</t>
        </is>
      </c>
    </row>
    <row r="6">
      <c r="A6" s="4" t="n">
        <v>5</v>
      </c>
      <c r="B6" s="4" t="inlineStr">
        <is>
          <t>Leo</t>
        </is>
      </c>
      <c r="C6" s="4" t="inlineStr">
        <is>
          <t>Sun</t>
        </is>
      </c>
      <c r="D6" s="4" t="inlineStr">
        <is>
          <t>Yes</t>
        </is>
      </c>
      <c r="E6" s="31" t="n"/>
      <c r="F6" s="32" t="n"/>
      <c r="I6" t="inlineStr">
        <is>
          <t>0°–20° Simha (Sun)</t>
        </is>
      </c>
      <c r="J6" t="inlineStr">
        <is>
          <t>20°–30° Simha (Sun)</t>
        </is>
      </c>
    </row>
    <row r="7">
      <c r="A7" s="4" t="n">
        <v>6</v>
      </c>
      <c r="B7" s="4" t="inlineStr">
        <is>
          <t>Virgo</t>
        </is>
      </c>
      <c r="C7" s="4" t="inlineStr">
        <is>
          <t>Mercury</t>
        </is>
      </c>
      <c r="D7" s="4" t="inlineStr">
        <is>
          <t>Yes</t>
        </is>
      </c>
      <c r="E7" s="31" t="inlineStr">
        <is>
          <t>Mercury</t>
        </is>
      </c>
      <c r="F7" s="32" t="inlineStr">
        <is>
          <t>Venus</t>
        </is>
      </c>
    </row>
    <row r="8">
      <c r="A8" s="4" t="n">
        <v>7</v>
      </c>
      <c r="B8" s="4" t="inlineStr">
        <is>
          <t>Libra</t>
        </is>
      </c>
      <c r="C8" s="4" t="inlineStr">
        <is>
          <t>Venus</t>
        </is>
      </c>
      <c r="D8" s="4" t="inlineStr">
        <is>
          <t>Yes</t>
        </is>
      </c>
      <c r="E8" s="31" t="inlineStr">
        <is>
          <t>Saturn</t>
        </is>
      </c>
      <c r="F8" s="32" t="inlineStr">
        <is>
          <t>Sun</t>
        </is>
      </c>
      <c r="H8" t="inlineStr">
        <is>
          <t>10° (Sun)</t>
        </is>
      </c>
    </row>
    <row r="9">
      <c r="A9" s="4" t="n">
        <v>8</v>
      </c>
      <c r="B9" s="4" t="inlineStr">
        <is>
          <t>Scorpio</t>
        </is>
      </c>
      <c r="C9" s="4" t="inlineStr">
        <is>
          <t>Mars</t>
        </is>
      </c>
      <c r="D9" s="4" t="n"/>
      <c r="E9" s="31" t="inlineStr">
        <is>
          <t>Ketu</t>
        </is>
      </c>
      <c r="F9" s="32" t="inlineStr">
        <is>
          <t>Rahu, Moon</t>
        </is>
      </c>
    </row>
    <row r="10">
      <c r="A10" s="4" t="n">
        <v>9</v>
      </c>
      <c r="B10" s="4" t="inlineStr">
        <is>
          <t>Sagittarius</t>
        </is>
      </c>
      <c r="C10" s="4" t="inlineStr">
        <is>
          <t>Jupiter</t>
        </is>
      </c>
      <c r="D10" s="4" t="inlineStr">
        <is>
          <t>Yes</t>
        </is>
      </c>
      <c r="E10" s="31" t="n"/>
      <c r="F10" s="32" t="n"/>
    </row>
    <row r="11">
      <c r="A11" s="4" t="n">
        <v>10</v>
      </c>
      <c r="B11" s="4" t="inlineStr">
        <is>
          <t>Capricorn</t>
        </is>
      </c>
      <c r="C11" s="4" t="inlineStr">
        <is>
          <t>Saturn</t>
        </is>
      </c>
      <c r="D11" s="4" t="n"/>
      <c r="E11" s="31" t="inlineStr">
        <is>
          <t>Mars</t>
        </is>
      </c>
      <c r="F11" s="32" t="inlineStr">
        <is>
          <t>Jupiter</t>
        </is>
      </c>
    </row>
    <row r="12">
      <c r="A12" s="4" t="n">
        <v>11</v>
      </c>
      <c r="B12" s="4" t="inlineStr">
        <is>
          <t>Aquarius</t>
        </is>
      </c>
      <c r="C12" s="4" t="inlineStr">
        <is>
          <t>Saturn</t>
        </is>
      </c>
      <c r="D12" s="4" t="inlineStr">
        <is>
          <t>Yes</t>
        </is>
      </c>
      <c r="E12" s="31" t="n"/>
      <c r="F12" s="32" t="n"/>
    </row>
    <row r="13">
      <c r="A13" s="4" t="n">
        <v>12</v>
      </c>
      <c r="B13" s="4" t="inlineStr">
        <is>
          <t>Pisces</t>
        </is>
      </c>
      <c r="C13" s="4" t="inlineStr">
        <is>
          <t>Jupiter</t>
        </is>
      </c>
      <c r="D13" s="4" t="n"/>
      <c r="E13" s="31" t="inlineStr">
        <is>
          <t>Venus</t>
        </is>
      </c>
      <c r="F13" s="32" t="inlineStr">
        <is>
          <t>Mercury</t>
        </is>
      </c>
    </row>
    <row r="16" ht="15.75" customHeight="1">
      <c r="A16" s="79" t="inlineStr">
        <is>
          <t>STHANA BALA — SUN (from Session 6)</t>
        </is>
      </c>
    </row>
    <row r="17">
      <c r="A17" s="76" t="inlineStr">
        <is>
          <t>Position</t>
        </is>
      </c>
      <c r="B17" s="76" t="inlineStr">
        <is>
          <t>Rashi / Degree</t>
        </is>
      </c>
      <c r="C17" s="76" t="inlineStr">
        <is>
          <t>Sanskrit Name</t>
        </is>
      </c>
      <c r="D17" s="76" t="inlineStr">
        <is>
          <t>Strength %</t>
        </is>
      </c>
    </row>
    <row r="18">
      <c r="A18" t="inlineStr">
        <is>
          <t>Exaltation (Uchha)</t>
        </is>
      </c>
      <c r="B18" t="inlineStr">
        <is>
          <t>Mesha · deep point 10°</t>
        </is>
      </c>
      <c r="C18" t="inlineStr">
        <is>
          <t>Garvita / Deepta</t>
        </is>
      </c>
      <c r="D18" s="80" t="n">
        <v>1</v>
      </c>
    </row>
    <row r="19">
      <c r="A19" t="inlineStr">
        <is>
          <t>Moola Trikona</t>
        </is>
      </c>
      <c r="B19" t="inlineStr">
        <is>
          <t>0°–20° Simha</t>
        </is>
      </c>
      <c r="C19" t="inlineStr">
        <is>
          <t>Sukitha</t>
        </is>
      </c>
      <c r="D19" s="80" t="n">
        <v>0.75</v>
      </c>
    </row>
    <row r="20">
      <c r="A20" t="inlineStr">
        <is>
          <t>Own House</t>
        </is>
      </c>
      <c r="B20" t="inlineStr">
        <is>
          <t>20°–30° Simha</t>
        </is>
      </c>
      <c r="C20" t="inlineStr">
        <is>
          <t>Swastha</t>
        </is>
      </c>
      <c r="D20" s="80" t="n">
        <v>0.5</v>
      </c>
    </row>
    <row r="21">
      <c r="A21" t="inlineStr">
        <is>
          <t>Friend's House</t>
        </is>
      </c>
      <c r="B21" t="inlineStr">
        <is>
          <t>—</t>
        </is>
      </c>
      <c r="C21" t="inlineStr">
        <is>
          <t>Mudita / Shantha</t>
        </is>
      </c>
      <c r="D21" t="inlineStr">
        <is>
          <t>Moderate</t>
        </is>
      </c>
    </row>
    <row r="22">
      <c r="A22" t="inlineStr">
        <is>
          <t>Neutral House</t>
        </is>
      </c>
      <c r="B22" t="inlineStr">
        <is>
          <t>—</t>
        </is>
      </c>
      <c r="C22" t="inlineStr">
        <is>
          <t>Neutral</t>
        </is>
      </c>
      <c r="D22" t="inlineStr">
        <is>
          <t>Moderate</t>
        </is>
      </c>
    </row>
    <row r="23">
      <c r="A23" t="inlineStr">
        <is>
          <t>Enemy's House</t>
        </is>
      </c>
      <c r="B23" t="inlineStr">
        <is>
          <t>—</t>
        </is>
      </c>
      <c r="C23" t="inlineStr">
        <is>
          <t>Dukitha</t>
        </is>
      </c>
      <c r="D23" t="inlineStr">
        <is>
          <t>Low</t>
        </is>
      </c>
    </row>
    <row r="24">
      <c r="A24" t="inlineStr">
        <is>
          <t>Debilitation (Neecha)</t>
        </is>
      </c>
      <c r="B24" t="inlineStr">
        <is>
          <t>Tula · deep point 10°</t>
        </is>
      </c>
      <c r="C24" t="inlineStr">
        <is>
          <t>Deena / Susupti</t>
        </is>
      </c>
      <c r="D24" t="inlineStr">
        <is>
          <t>Lowest</t>
        </is>
      </c>
    </row>
    <row r="26" ht="15.75" customHeight="1">
      <c r="A26" s="79" t="inlineStr">
        <is>
          <t>COMBUSTION RULE</t>
        </is>
      </c>
    </row>
    <row r="27">
      <c r="A27" t="inlineStr">
        <is>
          <t>Combust range = Sun's degree ± 5°. Any planet within this 10° window loses its luster and becomes powerless (Asthangata).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tabSelected="1" workbookViewId="0">
      <selection activeCell="B20" sqref="B20"/>
    </sheetView>
  </sheetViews>
  <sheetFormatPr baseColWidth="8" defaultRowHeight="15"/>
  <cols>
    <col width="41.85546875" customWidth="1" min="1" max="1"/>
    <col width="27.5703125" customWidth="1" min="2" max="10"/>
  </cols>
  <sheetData>
    <row r="1" ht="18.75" customHeight="1">
      <c r="A1" s="81" t="inlineStr">
        <is>
          <t>PLANET CHARACTERISTICS — MASTER TABLE</t>
        </is>
      </c>
    </row>
    <row r="2">
      <c r="A2" s="82" t="inlineStr">
        <is>
          <t>Sun details populated from Session 6. Other planets will be filled in as future sessions cover them.</t>
        </is>
      </c>
    </row>
    <row r="4">
      <c r="A4" s="85" t="inlineStr">
        <is>
          <t>Characteristic</t>
        </is>
      </c>
      <c r="B4" s="86" t="inlineStr">
        <is>
          <t>Sun ☉</t>
        </is>
      </c>
      <c r="C4" s="86" t="inlineStr">
        <is>
          <t>Moon ☽</t>
        </is>
      </c>
      <c r="D4" s="86" t="inlineStr">
        <is>
          <t>Mars ♂</t>
        </is>
      </c>
      <c r="E4" s="86" t="inlineStr">
        <is>
          <t>Mercury ☿</t>
        </is>
      </c>
      <c r="F4" s="86" t="inlineStr">
        <is>
          <t>Jupiter ♃</t>
        </is>
      </c>
      <c r="G4" s="86" t="inlineStr">
        <is>
          <t>Venus ♀</t>
        </is>
      </c>
      <c r="H4" s="86" t="inlineStr">
        <is>
          <t>Saturn ♄</t>
        </is>
      </c>
      <c r="I4" s="86" t="inlineStr">
        <is>
          <t>Rahu ☊</t>
        </is>
      </c>
      <c r="J4" s="86" t="inlineStr">
        <is>
          <t>Ketu ☋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83" t="inlineStr">
        <is>
          <t>BASIC IDENTITY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84" t="inlineStr">
        <is>
          <t>Sanskrit Name</t>
        </is>
      </c>
      <c r="B7" s="1" t="inlineStr">
        <is>
          <t>Surya / Ravi</t>
        </is>
      </c>
      <c r="C7" s="1" t="inlineStr">
        <is>
          <t>Chandra</t>
        </is>
      </c>
      <c r="D7" s="1" t="inlineStr">
        <is>
          <t>Mangala / Kuja</t>
        </is>
      </c>
      <c r="E7" s="1" t="inlineStr">
        <is>
          <t>Budha</t>
        </is>
      </c>
      <c r="F7" s="1" t="inlineStr">
        <is>
          <t>Guru / Brihaspati</t>
        </is>
      </c>
      <c r="G7" s="1" t="inlineStr">
        <is>
          <t>Shukra</t>
        </is>
      </c>
      <c r="H7" s="1" t="inlineStr">
        <is>
          <t>Shani</t>
        </is>
      </c>
      <c r="I7" s="1" t="inlineStr">
        <is>
          <t>Rahu</t>
        </is>
      </c>
      <c r="J7" s="1" t="inlineStr">
        <is>
          <t>Ketu</t>
        </is>
      </c>
    </row>
    <row r="8">
      <c r="A8" s="84" t="inlineStr">
        <is>
          <t>Symbol</t>
        </is>
      </c>
      <c r="B8" s="1" t="inlineStr">
        <is>
          <t>☉</t>
        </is>
      </c>
      <c r="C8" s="1" t="inlineStr">
        <is>
          <t>☽</t>
        </is>
      </c>
      <c r="D8" s="1" t="inlineStr">
        <is>
          <t>♂</t>
        </is>
      </c>
      <c r="E8" s="1" t="inlineStr">
        <is>
          <t>☿</t>
        </is>
      </c>
      <c r="F8" s="1" t="inlineStr">
        <is>
          <t>♃</t>
        </is>
      </c>
      <c r="G8" s="1" t="inlineStr">
        <is>
          <t>♀</t>
        </is>
      </c>
      <c r="H8" s="1" t="inlineStr">
        <is>
          <t>♄</t>
        </is>
      </c>
      <c r="I8" s="1" t="inlineStr">
        <is>
          <t>☊</t>
        </is>
      </c>
      <c r="J8" s="1" t="inlineStr">
        <is>
          <t>☋</t>
        </is>
      </c>
    </row>
    <row r="9" ht="30" customHeight="1">
      <c r="A9" s="84" t="inlineStr">
        <is>
          <t>English Name</t>
        </is>
      </c>
      <c r="B9" s="1" t="inlineStr">
        <is>
          <t>Sun</t>
        </is>
      </c>
      <c r="C9" s="1" t="inlineStr">
        <is>
          <t>Moon</t>
        </is>
      </c>
      <c r="D9" s="1" t="inlineStr">
        <is>
          <t>Mars</t>
        </is>
      </c>
      <c r="E9" s="1" t="inlineStr">
        <is>
          <t>Mercury</t>
        </is>
      </c>
      <c r="F9" s="1" t="inlineStr">
        <is>
          <t>Jupiter</t>
        </is>
      </c>
      <c r="G9" s="1" t="inlineStr">
        <is>
          <t>Venus</t>
        </is>
      </c>
      <c r="H9" s="1" t="inlineStr">
        <is>
          <t>Saturn</t>
        </is>
      </c>
      <c r="I9" s="1" t="inlineStr">
        <is>
          <t>Ascending Node / Dragon Head</t>
        </is>
      </c>
      <c r="J9" s="1" t="inlineStr">
        <is>
          <t>Descending Node / Dragon Tail</t>
        </is>
      </c>
    </row>
    <row r="10">
      <c r="A10" s="84" t="inlineStr">
        <is>
          <t>Inner / Outer</t>
        </is>
      </c>
      <c r="B10" s="1" t="inlineStr">
        <is>
          <t>Inner</t>
        </is>
      </c>
      <c r="C10" s="1" t="inlineStr">
        <is>
          <t>Inner</t>
        </is>
      </c>
      <c r="D10" s="1" t="inlineStr">
        <is>
          <t>Outer</t>
        </is>
      </c>
      <c r="E10" s="1" t="inlineStr">
        <is>
          <t>Inner</t>
        </is>
      </c>
      <c r="F10" s="1" t="inlineStr">
        <is>
          <t>Outer</t>
        </is>
      </c>
      <c r="G10" s="1" t="inlineStr">
        <is>
          <t>Inner</t>
        </is>
      </c>
      <c r="H10" s="1" t="inlineStr">
        <is>
          <t>Outer</t>
        </is>
      </c>
      <c r="I10" s="1" t="inlineStr">
        <is>
          <t>Shadow planet</t>
        </is>
      </c>
      <c r="J10" s="1" t="inlineStr">
        <is>
          <t>Shadow planet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83" t="inlineStr">
        <is>
          <t>MOVEMENT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84" t="inlineStr">
        <is>
          <t>Days per Rashi</t>
        </is>
      </c>
      <c r="B13" s="1" t="inlineStr">
        <is>
          <t>~30 days</t>
        </is>
      </c>
      <c r="C13" s="1" t="inlineStr">
        <is>
          <t>~2¼ days</t>
        </is>
      </c>
      <c r="D13" s="1" t="inlineStr">
        <is>
          <t>~45–49 days</t>
        </is>
      </c>
      <c r="E13" s="1" t="inlineStr">
        <is>
          <t>~24 days</t>
        </is>
      </c>
      <c r="F13" s="1" t="inlineStr">
        <is>
          <t>~1 year</t>
        </is>
      </c>
      <c r="G13" s="1" t="inlineStr">
        <is>
          <t>~25–27 days</t>
        </is>
      </c>
      <c r="H13" s="1" t="inlineStr">
        <is>
          <t>~2½ years</t>
        </is>
      </c>
      <c r="I13" s="1" t="inlineStr">
        <is>
          <t>~1½ years</t>
        </is>
      </c>
      <c r="J13" s="1" t="inlineStr">
        <is>
          <t>~1½ years</t>
        </is>
      </c>
    </row>
    <row r="14">
      <c r="A14" s="84" t="inlineStr">
        <is>
          <t>Time for Full Zodiac</t>
        </is>
      </c>
      <c r="B14" s="1" t="inlineStr">
        <is>
          <t>~1 year</t>
        </is>
      </c>
      <c r="C14" s="1" t="inlineStr">
        <is>
          <t>~27 days</t>
        </is>
      </c>
      <c r="D14" s="1" t="inlineStr">
        <is>
          <t>~1½ years</t>
        </is>
      </c>
      <c r="E14" s="1" t="inlineStr">
        <is>
          <t>~288 days</t>
        </is>
      </c>
      <c r="F14" s="1" t="inlineStr">
        <is>
          <t>~12 years</t>
        </is>
      </c>
      <c r="G14" s="1" t="inlineStr">
        <is>
          <t>~324 days</t>
        </is>
      </c>
      <c r="H14" s="1" t="inlineStr">
        <is>
          <t>~30 years</t>
        </is>
      </c>
      <c r="I14" s="1" t="inlineStr">
        <is>
          <t>~18 years</t>
        </is>
      </c>
      <c r="J14" s="1" t="inlineStr">
        <is>
          <t>~18 years</t>
        </is>
      </c>
    </row>
    <row r="15">
      <c r="A15" s="84" t="inlineStr">
        <is>
          <t>Direction of Motion</t>
        </is>
      </c>
      <c r="B15" s="1" t="inlineStr">
        <is>
          <t>Direct</t>
        </is>
      </c>
      <c r="C15" s="1" t="inlineStr">
        <is>
          <t>Direct</t>
        </is>
      </c>
      <c r="D15" s="1" t="inlineStr">
        <is>
          <t>Direct (occ. retrograde)</t>
        </is>
      </c>
      <c r="E15" s="1" t="inlineStr">
        <is>
          <t>Direct (occ. retrograde)</t>
        </is>
      </c>
      <c r="F15" s="1" t="inlineStr">
        <is>
          <t>Direct (occ. retrograde)</t>
        </is>
      </c>
      <c r="G15" s="1" t="inlineStr">
        <is>
          <t>Direct (occ. retrograde)</t>
        </is>
      </c>
      <c r="H15" s="1" t="inlineStr">
        <is>
          <t>Direct (occ. retrograde)</t>
        </is>
      </c>
      <c r="I15" s="1" t="inlineStr">
        <is>
          <t>Always Retrograde</t>
        </is>
      </c>
      <c r="J15" s="1" t="inlineStr">
        <is>
          <t>Always Retrograde</t>
        </is>
      </c>
    </row>
    <row r="16">
      <c r="A16" s="84" t="inlineStr">
        <is>
          <t>Aspects (Drishti)</t>
        </is>
      </c>
      <c r="B16" s="1" t="inlineStr">
        <is>
          <t>7th only (Inner)</t>
        </is>
      </c>
      <c r="C16" s="1" t="inlineStr">
        <is>
          <t>7th only (Inner)</t>
        </is>
      </c>
      <c r="D16" s="1" t="inlineStr">
        <is>
          <t>4th, 7th, 8th</t>
        </is>
      </c>
      <c r="E16" s="1" t="inlineStr">
        <is>
          <t>7th only (Inner)</t>
        </is>
      </c>
      <c r="F16" s="1" t="inlineStr">
        <is>
          <t>5th, 7th, 9th</t>
        </is>
      </c>
      <c r="G16" s="1" t="inlineStr">
        <is>
          <t>7th only (Inner)</t>
        </is>
      </c>
      <c r="H16" s="1" t="inlineStr">
        <is>
          <t>3rd, 7th, 10th</t>
        </is>
      </c>
      <c r="I16" s="1" t="inlineStr">
        <is>
          <t>(later session)</t>
        </is>
      </c>
      <c r="J16" s="1" t="inlineStr">
        <is>
          <t>(later session)</t>
        </is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83" t="inlineStr">
        <is>
          <t>DIGNITY / STHANA BALA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84" t="inlineStr">
        <is>
          <t>Exaltation Rashi</t>
        </is>
      </c>
      <c r="B19" s="1" t="inlineStr">
        <is>
          <t>Mesha</t>
        </is>
      </c>
      <c r="C19" s="1" t="inlineStr">
        <is>
          <t>Vrishabha</t>
        </is>
      </c>
      <c r="D19" s="1" t="inlineStr">
        <is>
          <t>Makara</t>
        </is>
      </c>
      <c r="E19" s="1" t="inlineStr">
        <is>
          <t>Kanya</t>
        </is>
      </c>
      <c r="F19" s="1" t="inlineStr">
        <is>
          <t>Karkataka</t>
        </is>
      </c>
      <c r="G19" s="1" t="inlineStr">
        <is>
          <t>Meena</t>
        </is>
      </c>
      <c r="H19" s="1" t="inlineStr">
        <is>
          <t>Tula</t>
        </is>
      </c>
      <c r="I19" s="1" t="inlineStr">
        <is>
          <t>Vrishabha</t>
        </is>
      </c>
      <c r="J19" s="1" t="inlineStr">
        <is>
          <t>Vrischika</t>
        </is>
      </c>
    </row>
    <row r="20">
      <c r="A20" s="84" t="inlineStr">
        <is>
          <t>Deep Exaltation Degree</t>
        </is>
      </c>
      <c r="B20" s="1" t="inlineStr">
        <is>
          <t>10° Mesha</t>
        </is>
      </c>
      <c r="C20" s="1" t="inlineStr">
        <is>
          <t>(later session)</t>
        </is>
      </c>
      <c r="D20" s="1" t="inlineStr">
        <is>
          <t>(later session)</t>
        </is>
      </c>
      <c r="E20" s="1" t="inlineStr">
        <is>
          <t>(later session)</t>
        </is>
      </c>
      <c r="F20" s="1" t="inlineStr">
        <is>
          <t>(later session)</t>
        </is>
      </c>
      <c r="G20" s="1" t="inlineStr">
        <is>
          <t>(later session)</t>
        </is>
      </c>
      <c r="H20" s="1" t="inlineStr">
        <is>
          <t>(later session)</t>
        </is>
      </c>
      <c r="I20" s="1" t="inlineStr">
        <is>
          <t>(later session)</t>
        </is>
      </c>
      <c r="J20" s="1" t="inlineStr">
        <is>
          <t>(later session)</t>
        </is>
      </c>
    </row>
    <row r="21">
      <c r="A21" s="84" t="inlineStr">
        <is>
          <t>Debilitation Rashi</t>
        </is>
      </c>
      <c r="B21" s="1" t="inlineStr">
        <is>
          <t>Tula</t>
        </is>
      </c>
      <c r="C21" s="1" t="inlineStr">
        <is>
          <t>Vrischika</t>
        </is>
      </c>
      <c r="D21" s="1" t="inlineStr">
        <is>
          <t>Karkataka</t>
        </is>
      </c>
      <c r="E21" s="1" t="inlineStr">
        <is>
          <t>Meena</t>
        </is>
      </c>
      <c r="F21" s="1" t="inlineStr">
        <is>
          <t>Makara</t>
        </is>
      </c>
      <c r="G21" s="1" t="inlineStr">
        <is>
          <t>Kanya</t>
        </is>
      </c>
      <c r="H21" s="1" t="inlineStr">
        <is>
          <t>Mesha</t>
        </is>
      </c>
      <c r="I21" s="1" t="inlineStr">
        <is>
          <t>Vrischika</t>
        </is>
      </c>
      <c r="J21" s="1" t="inlineStr">
        <is>
          <t>Vrishabha</t>
        </is>
      </c>
    </row>
    <row r="22">
      <c r="A22" s="84" t="inlineStr">
        <is>
          <t>Deep Debilitation Degree</t>
        </is>
      </c>
      <c r="B22" s="1" t="inlineStr">
        <is>
          <t>10° Tula</t>
        </is>
      </c>
      <c r="C22" s="1" t="inlineStr">
        <is>
          <t>(later session)</t>
        </is>
      </c>
      <c r="D22" s="1" t="inlineStr">
        <is>
          <t>(later session)</t>
        </is>
      </c>
      <c r="E22" s="1" t="inlineStr">
        <is>
          <t>(later session)</t>
        </is>
      </c>
      <c r="F22" s="1" t="inlineStr">
        <is>
          <t>(later session)</t>
        </is>
      </c>
      <c r="G22" s="1" t="inlineStr">
        <is>
          <t>(later session)</t>
        </is>
      </c>
      <c r="H22" s="1" t="inlineStr">
        <is>
          <t>(later session)</t>
        </is>
      </c>
      <c r="I22" s="1" t="inlineStr">
        <is>
          <t>(later session)</t>
        </is>
      </c>
      <c r="J22" s="1" t="inlineStr">
        <is>
          <t>(later session)</t>
        </is>
      </c>
    </row>
    <row r="23">
      <c r="A23" s="84" t="inlineStr">
        <is>
          <t>Moola Trikona Range</t>
        </is>
      </c>
      <c r="B23" s="1" t="inlineStr">
        <is>
          <t>0°–20° Simha</t>
        </is>
      </c>
      <c r="C23" s="1" t="inlineStr">
        <is>
          <t>(later session)</t>
        </is>
      </c>
      <c r="D23" s="1" t="inlineStr">
        <is>
          <t>(later session)</t>
        </is>
      </c>
      <c r="E23" s="1" t="inlineStr">
        <is>
          <t>(later session)</t>
        </is>
      </c>
      <c r="F23" s="1" t="inlineStr">
        <is>
          <t>(later session)</t>
        </is>
      </c>
      <c r="G23" s="1" t="inlineStr">
        <is>
          <t>(later session)</t>
        </is>
      </c>
      <c r="H23" s="1" t="inlineStr">
        <is>
          <t>(later session)</t>
        </is>
      </c>
      <c r="I23" s="1" t="inlineStr">
        <is>
          <t>— (no MTR)</t>
        </is>
      </c>
      <c r="J23" s="1" t="inlineStr">
        <is>
          <t>— (no MTR)</t>
        </is>
      </c>
    </row>
    <row r="24">
      <c r="A24" s="84" t="inlineStr">
        <is>
          <t>Own House (Swakshetra)</t>
        </is>
      </c>
      <c r="B24" s="1" t="inlineStr">
        <is>
          <t>Simha</t>
        </is>
      </c>
      <c r="C24" s="1" t="inlineStr">
        <is>
          <t>Karkataka</t>
        </is>
      </c>
      <c r="D24" s="1" t="inlineStr">
        <is>
          <t>Mesha, Vrischika</t>
        </is>
      </c>
      <c r="E24" s="1" t="inlineStr">
        <is>
          <t>Mithuna, Kanya</t>
        </is>
      </c>
      <c r="F24" s="1" t="inlineStr">
        <is>
          <t>Dhanur, Meena</t>
        </is>
      </c>
      <c r="G24" s="1" t="inlineStr">
        <is>
          <t>Vrishabha, Tula</t>
        </is>
      </c>
      <c r="H24" s="1" t="inlineStr">
        <is>
          <t>Makara, Kumbha</t>
        </is>
      </c>
      <c r="I24" s="1" t="inlineStr">
        <is>
          <t>— (no rulership)</t>
        </is>
      </c>
      <c r="J24" s="1" t="inlineStr">
        <is>
          <t>— (no rulership)</t>
        </is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83" t="inlineStr">
        <is>
          <t>KARAKATWAS (SIGNIFICATIONS)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84" t="inlineStr">
        <is>
          <t>Soul / Mind / Body</t>
        </is>
      </c>
      <c r="B27" s="1" t="inlineStr">
        <is>
          <t>Soul (Atma)</t>
        </is>
      </c>
      <c r="C27" s="1" t="inlineStr">
        <is>
          <t>(later session)</t>
        </is>
      </c>
      <c r="D27" s="1" t="inlineStr">
        <is>
          <t>(later session)</t>
        </is>
      </c>
      <c r="E27" s="1" t="inlineStr">
        <is>
          <t>(later session)</t>
        </is>
      </c>
      <c r="F27" s="1" t="inlineStr">
        <is>
          <t>(later session)</t>
        </is>
      </c>
      <c r="G27" s="1" t="inlineStr">
        <is>
          <t>(later session)</t>
        </is>
      </c>
      <c r="H27" s="1" t="inlineStr">
        <is>
          <t>(later session)</t>
        </is>
      </c>
      <c r="I27" s="1" t="inlineStr">
        <is>
          <t>(later session)</t>
        </is>
      </c>
      <c r="J27" s="1" t="inlineStr">
        <is>
          <t>(later session)</t>
        </is>
      </c>
    </row>
    <row r="28">
      <c r="A28" s="84" t="inlineStr">
        <is>
          <t>Relationships (Karaka of)</t>
        </is>
      </c>
      <c r="B28" s="1" t="inlineStr">
        <is>
          <t>Father, Father-in-law</t>
        </is>
      </c>
      <c r="C28" s="1" t="inlineStr">
        <is>
          <t>(later session)</t>
        </is>
      </c>
      <c r="D28" s="1" t="inlineStr">
        <is>
          <t>(later session)</t>
        </is>
      </c>
      <c r="E28" s="1" t="inlineStr">
        <is>
          <t>(later session)</t>
        </is>
      </c>
      <c r="F28" s="1" t="inlineStr">
        <is>
          <t>(later session)</t>
        </is>
      </c>
      <c r="G28" s="1" t="inlineStr">
        <is>
          <t>(later session)</t>
        </is>
      </c>
      <c r="H28" s="1" t="inlineStr">
        <is>
          <t>(later session)</t>
        </is>
      </c>
      <c r="I28" s="1" t="inlineStr">
        <is>
          <t>(later session)</t>
        </is>
      </c>
      <c r="J28" s="1" t="inlineStr">
        <is>
          <t>(later session)</t>
        </is>
      </c>
    </row>
    <row r="29" ht="75" customHeight="1">
      <c r="A29" s="84" t="inlineStr">
        <is>
          <t>Profession / Status</t>
        </is>
      </c>
      <c r="B29" s="1" t="inlineStr">
        <is>
          <t>Authority, Government, Leadership, Boss, Administration, Management, Influential persons</t>
        </is>
      </c>
      <c r="C29" s="1" t="inlineStr">
        <is>
          <t>(later session)</t>
        </is>
      </c>
      <c r="D29" s="1" t="inlineStr">
        <is>
          <t>(later session)</t>
        </is>
      </c>
      <c r="E29" s="1" t="inlineStr">
        <is>
          <t>(later session)</t>
        </is>
      </c>
      <c r="F29" s="1" t="inlineStr">
        <is>
          <t>(later session)</t>
        </is>
      </c>
      <c r="G29" s="1" t="inlineStr">
        <is>
          <t>(later session)</t>
        </is>
      </c>
      <c r="H29" s="1" t="inlineStr">
        <is>
          <t>(later session)</t>
        </is>
      </c>
      <c r="I29" s="1" t="inlineStr">
        <is>
          <t>(later session)</t>
        </is>
      </c>
      <c r="J29" s="1" t="inlineStr">
        <is>
          <t>(later session)</t>
        </is>
      </c>
    </row>
    <row r="30" ht="30" customHeight="1">
      <c r="A30" s="84" t="inlineStr">
        <is>
          <t>Reputation</t>
        </is>
      </c>
      <c r="B30" s="1" t="inlineStr">
        <is>
          <t>Name &amp; Fame, Reputation, Visibility, Permanent Income</t>
        </is>
      </c>
      <c r="C30" s="1" t="inlineStr">
        <is>
          <t>(later session)</t>
        </is>
      </c>
      <c r="D30" s="1" t="inlineStr">
        <is>
          <t>(later session)</t>
        </is>
      </c>
      <c r="E30" s="1" t="inlineStr">
        <is>
          <t>(later session)</t>
        </is>
      </c>
      <c r="F30" s="1" t="inlineStr">
        <is>
          <t>(later session)</t>
        </is>
      </c>
      <c r="G30" s="1" t="inlineStr">
        <is>
          <t>(later session)</t>
        </is>
      </c>
      <c r="H30" s="1" t="inlineStr">
        <is>
          <t>(later session)</t>
        </is>
      </c>
      <c r="I30" s="1" t="inlineStr">
        <is>
          <t>(later session)</t>
        </is>
      </c>
      <c r="J30" s="1" t="inlineStr">
        <is>
          <t>(later session)</t>
        </is>
      </c>
    </row>
    <row r="31" ht="60" customHeight="1">
      <c r="A31" s="84" t="inlineStr">
        <is>
          <t>Personality Traits</t>
        </is>
      </c>
      <c r="B31" s="1" t="inlineStr">
        <is>
          <t>Ego, Vitality, Open-hearted, Equality, Generous, High Expectations, Punctual, Vertical</t>
        </is>
      </c>
      <c r="C31" s="1" t="inlineStr">
        <is>
          <t>(later session)</t>
        </is>
      </c>
      <c r="D31" s="1" t="inlineStr">
        <is>
          <t>(later session)</t>
        </is>
      </c>
      <c r="E31" s="1" t="inlineStr">
        <is>
          <t>(later session)</t>
        </is>
      </c>
      <c r="F31" s="1" t="inlineStr">
        <is>
          <t>(later session)</t>
        </is>
      </c>
      <c r="G31" s="1" t="inlineStr">
        <is>
          <t>(later session)</t>
        </is>
      </c>
      <c r="H31" s="1" t="inlineStr">
        <is>
          <t>(later session)</t>
        </is>
      </c>
      <c r="I31" s="1" t="inlineStr">
        <is>
          <t>(later session)</t>
        </is>
      </c>
      <c r="J31" s="1" t="inlineStr">
        <is>
          <t>(later session)</t>
        </is>
      </c>
    </row>
    <row r="32">
      <c r="A32" s="84" t="inlineStr">
        <is>
          <t>Body Parts Ruled</t>
        </is>
      </c>
      <c r="B32" s="1" t="inlineStr">
        <is>
          <t>Eyes, Heart, Spine, Bones</t>
        </is>
      </c>
      <c r="C32" s="1" t="inlineStr">
        <is>
          <t>(later session)</t>
        </is>
      </c>
      <c r="D32" s="1" t="inlineStr">
        <is>
          <t>(later session)</t>
        </is>
      </c>
      <c r="E32" s="1" t="inlineStr">
        <is>
          <t>(later session)</t>
        </is>
      </c>
      <c r="F32" s="1" t="inlineStr">
        <is>
          <t>(later session)</t>
        </is>
      </c>
      <c r="G32" s="1" t="inlineStr">
        <is>
          <t>(later session)</t>
        </is>
      </c>
      <c r="H32" s="1" t="inlineStr">
        <is>
          <t>(later session)</t>
        </is>
      </c>
      <c r="I32" s="1" t="inlineStr">
        <is>
          <t>(later session)</t>
        </is>
      </c>
      <c r="J32" s="1" t="inlineStr">
        <is>
          <t>(later session)</t>
        </is>
      </c>
    </row>
    <row r="33">
      <c r="A33" s="84" t="inlineStr">
        <is>
          <t>Constitution (Tridosha)</t>
        </is>
      </c>
      <c r="B33" s="1" t="inlineStr">
        <is>
          <t>Pitta (Hot)</t>
        </is>
      </c>
      <c r="C33" s="1" t="inlineStr">
        <is>
          <t>(later session)</t>
        </is>
      </c>
      <c r="D33" s="1" t="inlineStr">
        <is>
          <t>(later session)</t>
        </is>
      </c>
      <c r="E33" s="1" t="inlineStr">
        <is>
          <t>(later session)</t>
        </is>
      </c>
      <c r="F33" s="1" t="inlineStr">
        <is>
          <t>(later session)</t>
        </is>
      </c>
      <c r="G33" s="1" t="inlineStr">
        <is>
          <t>(later session)</t>
        </is>
      </c>
      <c r="H33" s="1" t="inlineStr">
        <is>
          <t>(later session)</t>
        </is>
      </c>
      <c r="I33" s="1" t="inlineStr">
        <is>
          <t>(later session)</t>
        </is>
      </c>
      <c r="J33" s="1" t="inlineStr">
        <is>
          <t>(later session)</t>
        </is>
      </c>
    </row>
    <row r="34">
      <c r="A34" s="84" t="inlineStr">
        <is>
          <t>General Health Indicator</t>
        </is>
      </c>
      <c r="B34" s="1" t="inlineStr">
        <is>
          <t>General Health, Vitality</t>
        </is>
      </c>
      <c r="C34" s="1" t="inlineStr">
        <is>
          <t>(later session)</t>
        </is>
      </c>
      <c r="D34" s="1" t="inlineStr">
        <is>
          <t>(later session)</t>
        </is>
      </c>
      <c r="E34" s="1" t="inlineStr">
        <is>
          <t>(later session)</t>
        </is>
      </c>
      <c r="F34" s="1" t="inlineStr">
        <is>
          <t>(later session)</t>
        </is>
      </c>
      <c r="G34" s="1" t="inlineStr">
        <is>
          <t>(later session)</t>
        </is>
      </c>
      <c r="H34" s="1" t="inlineStr">
        <is>
          <t>(later session)</t>
        </is>
      </c>
      <c r="I34" s="1" t="inlineStr">
        <is>
          <t>(later session)</t>
        </is>
      </c>
      <c r="J34" s="1" t="inlineStr">
        <is>
          <t>(later session)</t>
        </is>
      </c>
    </row>
    <row r="35" ht="45" customHeight="1">
      <c r="A35" s="84" t="inlineStr">
        <is>
          <t>Nature</t>
        </is>
      </c>
      <c r="B35" s="1" t="inlineStr">
        <is>
          <t>Separative planet; causes combustion to nearby planets</t>
        </is>
      </c>
      <c r="C35" s="1" t="inlineStr">
        <is>
          <t>(later session)</t>
        </is>
      </c>
      <c r="D35" s="1" t="inlineStr">
        <is>
          <t>(later session)</t>
        </is>
      </c>
      <c r="E35" s="1" t="inlineStr">
        <is>
          <t>(later session)</t>
        </is>
      </c>
      <c r="F35" s="1" t="inlineStr">
        <is>
          <t>(later session)</t>
        </is>
      </c>
      <c r="G35" s="1" t="inlineStr">
        <is>
          <t>(later session)</t>
        </is>
      </c>
      <c r="H35" s="1" t="inlineStr">
        <is>
          <t>(later session)</t>
        </is>
      </c>
      <c r="I35" s="1" t="inlineStr">
        <is>
          <t>(later session)</t>
        </is>
      </c>
      <c r="J35" s="1" t="inlineStr">
        <is>
          <t>(later session)</t>
        </is>
      </c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83" t="inlineStr">
        <is>
          <t>MYTHOLOGY / DEITY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84" t="inlineStr">
        <is>
          <t>Dasha Avatara</t>
        </is>
      </c>
      <c r="B38" s="1" t="inlineStr">
        <is>
          <t>Lord Rama</t>
        </is>
      </c>
      <c r="C38" s="1" t="inlineStr">
        <is>
          <t>(later session)</t>
        </is>
      </c>
      <c r="D38" s="1" t="inlineStr">
        <is>
          <t>(later session)</t>
        </is>
      </c>
      <c r="E38" s="1" t="inlineStr">
        <is>
          <t>(later session)</t>
        </is>
      </c>
      <c r="F38" s="1" t="inlineStr">
        <is>
          <t>(later session)</t>
        </is>
      </c>
      <c r="G38" s="1" t="inlineStr">
        <is>
          <t>(later session)</t>
        </is>
      </c>
      <c r="H38" s="1" t="inlineStr">
        <is>
          <t>(later session)</t>
        </is>
      </c>
      <c r="I38" s="1" t="inlineStr">
        <is>
          <t>(later session)</t>
        </is>
      </c>
      <c r="J38" s="1" t="inlineStr">
        <is>
          <t>(later session)</t>
        </is>
      </c>
    </row>
    <row r="39" ht="45" customHeight="1">
      <c r="A39" s="84" t="inlineStr">
        <is>
          <t>Birthday (Tithi)</t>
        </is>
      </c>
      <c r="B39" s="1" t="inlineStr">
        <is>
          <t>Prabhava Samvatsara, Magha Masa, Shukla Sapthami</t>
        </is>
      </c>
      <c r="C39" s="1" t="inlineStr">
        <is>
          <t>(later session)</t>
        </is>
      </c>
      <c r="D39" s="1" t="inlineStr">
        <is>
          <t>(later session)</t>
        </is>
      </c>
      <c r="E39" s="1" t="inlineStr">
        <is>
          <t>(later session)</t>
        </is>
      </c>
      <c r="F39" s="1" t="inlineStr">
        <is>
          <t>(later session)</t>
        </is>
      </c>
      <c r="G39" s="1" t="inlineStr">
        <is>
          <t>(later session)</t>
        </is>
      </c>
      <c r="H39" s="1" t="inlineStr">
        <is>
          <t>(later session)</t>
        </is>
      </c>
      <c r="I39" s="1" t="inlineStr">
        <is>
          <t>(later session)</t>
        </is>
      </c>
      <c r="J39" s="1" t="inlineStr">
        <is>
          <t>(later session)</t>
        </is>
      </c>
    </row>
    <row r="40">
      <c r="A40" s="84" t="inlineStr">
        <is>
          <t>Gothra</t>
        </is>
      </c>
      <c r="B40" s="1" t="inlineStr">
        <is>
          <t>Kashyapa</t>
        </is>
      </c>
      <c r="C40" s="1" t="inlineStr">
        <is>
          <t>(later session)</t>
        </is>
      </c>
      <c r="D40" s="1" t="inlineStr">
        <is>
          <t>(later session)</t>
        </is>
      </c>
      <c r="E40" s="1" t="inlineStr">
        <is>
          <t>(later session)</t>
        </is>
      </c>
      <c r="F40" s="1" t="inlineStr">
        <is>
          <t>(later session)</t>
        </is>
      </c>
      <c r="G40" s="1" t="inlineStr">
        <is>
          <t>(later session)</t>
        </is>
      </c>
      <c r="H40" s="1" t="inlineStr">
        <is>
          <t>(later session)</t>
        </is>
      </c>
      <c r="I40" s="1" t="inlineStr">
        <is>
          <t>(later session)</t>
        </is>
      </c>
      <c r="J40" s="1" t="inlineStr">
        <is>
          <t>(later session)</t>
        </is>
      </c>
    </row>
    <row r="41">
      <c r="A41" s="84" t="inlineStr">
        <is>
          <t>Consorts / Wives</t>
        </is>
      </c>
      <c r="B41" s="1" t="inlineStr">
        <is>
          <t>Sanjna &amp; Chaya</t>
        </is>
      </c>
      <c r="C41" s="1" t="inlineStr">
        <is>
          <t>(later session)</t>
        </is>
      </c>
      <c r="D41" s="1" t="inlineStr">
        <is>
          <t>(later session)</t>
        </is>
      </c>
      <c r="E41" s="1" t="inlineStr">
        <is>
          <t>(later session)</t>
        </is>
      </c>
      <c r="F41" s="1" t="inlineStr">
        <is>
          <t>(later session)</t>
        </is>
      </c>
      <c r="G41" s="1" t="inlineStr">
        <is>
          <t>(later session)</t>
        </is>
      </c>
      <c r="H41" s="1" t="inlineStr">
        <is>
          <t>(later session)</t>
        </is>
      </c>
      <c r="I41" s="1" t="inlineStr">
        <is>
          <t>(later session)</t>
        </is>
      </c>
      <c r="J41" s="1" t="inlineStr">
        <is>
          <t>(later session)</t>
        </is>
      </c>
    </row>
    <row r="42">
      <c r="A42" s="84" t="inlineStr">
        <is>
          <t>Vehicle (Vahana)</t>
        </is>
      </c>
      <c r="B42" s="1" t="inlineStr">
        <is>
          <t>7 horses</t>
        </is>
      </c>
      <c r="C42" s="1" t="inlineStr">
        <is>
          <t>(later session)</t>
        </is>
      </c>
      <c r="D42" s="1" t="inlineStr">
        <is>
          <t>(later session)</t>
        </is>
      </c>
      <c r="E42" s="1" t="inlineStr">
        <is>
          <t>(later session)</t>
        </is>
      </c>
      <c r="F42" s="1" t="inlineStr">
        <is>
          <t>(later session)</t>
        </is>
      </c>
      <c r="G42" s="1" t="inlineStr">
        <is>
          <t>(later session)</t>
        </is>
      </c>
      <c r="H42" s="1" t="inlineStr">
        <is>
          <t>(later session)</t>
        </is>
      </c>
      <c r="I42" s="1" t="inlineStr">
        <is>
          <t>(later session)</t>
        </is>
      </c>
      <c r="J42" s="1" t="inlineStr">
        <is>
          <t>(later session)</t>
        </is>
      </c>
    </row>
    <row r="43">
      <c r="A43" s="84" t="inlineStr">
        <is>
          <t>Numerology Number</t>
        </is>
      </c>
      <c r="B43" s="1" t="n">
        <v>1</v>
      </c>
      <c r="C43" s="1" t="inlineStr">
        <is>
          <t>(later session)</t>
        </is>
      </c>
      <c r="D43" s="1" t="inlineStr">
        <is>
          <t>(later session)</t>
        </is>
      </c>
      <c r="E43" s="1" t="inlineStr">
        <is>
          <t>(later session)</t>
        </is>
      </c>
      <c r="F43" s="1" t="inlineStr">
        <is>
          <t>(later session)</t>
        </is>
      </c>
      <c r="G43" s="1" t="inlineStr">
        <is>
          <t>(later session)</t>
        </is>
      </c>
      <c r="H43" s="1" t="inlineStr">
        <is>
          <t>(later session)</t>
        </is>
      </c>
      <c r="I43" s="1" t="inlineStr">
        <is>
          <t>(later session)</t>
        </is>
      </c>
      <c r="J43" s="1" t="inlineStr">
        <is>
          <t>(later session)</t>
        </is>
      </c>
    </row>
    <row r="44" ht="45" customHeight="1">
      <c r="A44" s="84" t="inlineStr">
        <is>
          <t>Combustion Effect (when combust by Sun)</t>
        </is>
      </c>
      <c r="B44" s="1" t="inlineStr">
        <is>
          <t>— (Sun is the combustor)</t>
        </is>
      </c>
      <c r="C44" s="1" t="inlineStr">
        <is>
          <t>Mind filled with ego; cannot think clearly</t>
        </is>
      </c>
      <c r="D44" s="1" t="inlineStr">
        <is>
          <t>Overconfident; feels can beat anyone</t>
        </is>
      </c>
      <c r="E44" s="1" t="inlineStr">
        <is>
          <t>Feels most intelligent</t>
        </is>
      </c>
      <c r="F44" s="1" t="inlineStr">
        <is>
          <t>Feels he knows everything; no need of Guru/God</t>
        </is>
      </c>
      <c r="G44" s="1" t="inlineStr">
        <is>
          <t>Unnecessary expenses on comforts, pleasures, entertainment</t>
        </is>
      </c>
      <c r="H44" s="1" t="inlineStr">
        <is>
          <t>Postpones work; thinks can finish in time even if late</t>
        </is>
      </c>
      <c r="I44" s="1" t="inlineStr">
        <is>
          <t>(later session)</t>
        </is>
      </c>
      <c r="J44" s="1" t="inlineStr">
        <is>
          <t>(later session)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8"/>
  <sheetViews>
    <sheetView topLeftCell="A185" workbookViewId="0">
      <selection activeCell="A1" sqref="A1:B1"/>
    </sheetView>
  </sheetViews>
  <sheetFormatPr baseColWidth="8" defaultRowHeight="15"/>
  <cols>
    <col width="99" customWidth="1" min="1" max="2"/>
  </cols>
  <sheetData>
    <row r="1" ht="21" customHeight="1">
      <c r="A1" s="69" t="inlineStr">
        <is>
          <t>📚 GUIDE &amp; EXPLANATIONS</t>
        </is>
      </c>
    </row>
    <row r="3" ht="15.75" customHeight="1">
      <c r="A3" s="70" t="inlineStr">
        <is>
          <t>TATWA (ELEMENTS) — Agni / Vayu / Prithvi / Jala</t>
        </is>
      </c>
      <c r="B3" s="95" t="n"/>
    </row>
    <row r="4" ht="45" customHeight="1">
      <c r="A4" s="24" t="inlineStr">
        <is>
          <t>Usage</t>
        </is>
      </c>
      <c r="B4" s="25" t="inlineStr">
        <is>
          <t>1) Used for Pariharas: Homa/lamps for Agni; Abhisheka/Teertha for Jala; Chanting Mantras for Vayu; Charity for Prithvi.
2) Used to check for natural calamities in Mundane Astrology.</t>
        </is>
      </c>
    </row>
    <row r="5">
      <c r="A5" s="24" t="n"/>
      <c r="B5" s="25" t="n"/>
    </row>
    <row r="6" ht="30" customHeight="1">
      <c r="A6" s="24" t="inlineStr">
        <is>
          <t>Agni (Fire)</t>
        </is>
      </c>
      <c r="B6" s="25" t="inlineStr">
        <is>
          <t>Energetic, hot, active, strong will, assertive, independent, likes popularity, sometimes dominating, likes to be in position.</t>
        </is>
      </c>
    </row>
    <row r="7">
      <c r="A7" s="24" t="inlineStr">
        <is>
          <t>Vayu (Air)</t>
        </is>
      </c>
      <c r="B7" s="25" t="inlineStr">
        <is>
          <t>Creative, intellectual, logical, good planners, balanced, nervous.</t>
        </is>
      </c>
    </row>
    <row r="8">
      <c r="A8" s="24" t="inlineStr">
        <is>
          <t>Prithvi (Earth)</t>
        </is>
      </c>
      <c r="B8" s="25" t="inlineStr">
        <is>
          <t>Perseverance, stability, hard work, materialistic, practical, self-centered, stubborn.</t>
        </is>
      </c>
    </row>
    <row r="9">
      <c r="A9" s="24" t="inlineStr">
        <is>
          <t>Jala (Water)</t>
        </is>
      </c>
      <c r="B9" s="25" t="inlineStr">
        <is>
          <t>Emotional, devotional, compassionate, receptive, intuitive, psychic, suspicious.</t>
        </is>
      </c>
    </row>
    <row r="10">
      <c r="A10" s="24" t="n"/>
      <c r="B10" s="25" t="n"/>
    </row>
    <row r="11" ht="45" customHeight="1">
      <c r="A11" s="24" t="inlineStr">
        <is>
          <t>Agni Sub-Types</t>
        </is>
      </c>
      <c r="B11" s="25" t="inlineStr">
        <is>
          <t>Mesha Agni = Forest fire (wild, spreads rapidly).
Simha Agni = Kitchen fire (used for cooking, productive purpose).
Dhanur Agni = Homa fire (spiritual awakening).</t>
        </is>
      </c>
    </row>
    <row r="12">
      <c r="A12" s="24" t="n"/>
      <c r="B12" s="25" t="n"/>
    </row>
    <row r="13" ht="45" customHeight="1">
      <c r="A13" s="24" t="inlineStr">
        <is>
          <t>Jala Sub-Types</t>
        </is>
      </c>
      <c r="B13" s="25" t="inlineStr">
        <is>
          <t>Karkataka Jala = Pure water like Ganga (nourishes).
Vrischika Jala = Polluted/deep waters.
Meena Jala = Ocean water.</t>
        </is>
      </c>
    </row>
    <row r="14">
      <c r="A14" s="24" t="n"/>
      <c r="B14" s="25" t="n"/>
    </row>
    <row r="15" ht="45" customHeight="1">
      <c r="A15" s="24" t="inlineStr">
        <is>
          <t>Prithvi Sub-Types</t>
        </is>
      </c>
      <c r="B15" s="25" t="inlineStr">
        <is>
          <t>Vrishabha = Agricultural land (bull used for tilling).
Kanya = Garden (young lady who loves flowers).
Makara = Marshy land (crocodile symbol).</t>
        </is>
      </c>
    </row>
    <row r="16">
      <c r="A16" s="24" t="n"/>
      <c r="B16" s="25" t="n"/>
    </row>
    <row r="17" ht="45" customHeight="1">
      <c r="A17" s="24" t="inlineStr">
        <is>
          <t>Vayu Sub-Types</t>
        </is>
      </c>
      <c r="B17" s="25" t="inlineStr">
        <is>
          <t>Mithuna = Intelligence used in communication (to impress, symbol = Male &amp; Female).
Tula = Intelligence used in business (symbol = Balance).
Kumbha = Intelligence used in creativity.</t>
        </is>
      </c>
    </row>
    <row r="18">
      <c r="A18" s="24" t="n"/>
      <c r="B18" s="25" t="n"/>
    </row>
    <row r="19" ht="15.75" customHeight="1">
      <c r="A19" s="67" t="inlineStr">
        <is>
          <t>CHARA / STHIRA / DWISABHAVA</t>
        </is>
      </c>
      <c r="B19" s="96" t="n"/>
    </row>
    <row r="20">
      <c r="A20" s="24" t="inlineStr">
        <is>
          <t>Chara (Moveable)</t>
        </is>
      </c>
      <c r="B20" s="25" t="inlineStr">
        <is>
          <t>Mesha, Karkataka, Tula, Makara — Flexible, adaptable, dynamic, achievers.</t>
        </is>
      </c>
    </row>
    <row r="21">
      <c r="A21" s="24" t="inlineStr">
        <is>
          <t>Sthira (Fixed)</t>
        </is>
      </c>
      <c r="B21" s="25" t="inlineStr">
        <is>
          <t>Vrishabha, Simha, Vrischika, Kumbha — Rigid, firm on decisions, stubborn, determined, impractical.</t>
        </is>
      </c>
    </row>
    <row r="22">
      <c r="A22" s="24" t="inlineStr">
        <is>
          <t>Dwisabhava (Dual)</t>
        </is>
      </c>
      <c r="B22" s="25" t="inlineStr">
        <is>
          <t>Mithuna, Kanya, Dhanur, Meena — Flexible or rigid depending on situation, indecisive, too cautious, calculative.</t>
        </is>
      </c>
    </row>
    <row r="23">
      <c r="A23" s="24" t="inlineStr">
        <is>
          <t>Note</t>
        </is>
      </c>
      <c r="B23" s="25" t="inlineStr">
        <is>
          <t>If more planets are in Chara Rashis, the person travels always. In Sthira rashis, will stay at one place.</t>
        </is>
      </c>
    </row>
    <row r="24">
      <c r="A24" s="24" t="n"/>
      <c r="B24" s="25" t="n"/>
    </row>
    <row r="25" ht="15.75" customHeight="1">
      <c r="A25" s="67" t="inlineStr">
        <is>
          <t>VARNA</t>
        </is>
      </c>
      <c r="B25" s="96" t="n"/>
    </row>
    <row r="26">
      <c r="A26" s="24" t="inlineStr">
        <is>
          <t>Usage</t>
        </is>
      </c>
      <c r="B26" s="25" t="inlineStr">
        <is>
          <t>Used in Match Making (Varna Koota). Male should be of higher varna than female. If both same varna, very good.</t>
        </is>
      </c>
    </row>
    <row r="27">
      <c r="A27" s="24" t="n"/>
      <c r="B27" s="25" t="n"/>
    </row>
    <row r="28" ht="15.75" customHeight="1">
      <c r="A28" s="67" t="inlineStr">
        <is>
          <t>PURUSHARTHAS</t>
        </is>
      </c>
      <c r="B28" s="96" t="n"/>
    </row>
    <row r="29">
      <c r="A29" s="24" t="inlineStr">
        <is>
          <t>Dharma</t>
        </is>
      </c>
      <c r="B29" s="25" t="inlineStr">
        <is>
          <t>Dharma Triangle (Mesha, Simha, Dhanur): Tendency towards religion and righteous deeds.</t>
        </is>
      </c>
    </row>
    <row r="30">
      <c r="A30" s="24" t="inlineStr">
        <is>
          <t>Artha</t>
        </is>
      </c>
      <c r="B30" s="25" t="inlineStr">
        <is>
          <t>Artha Triangle (Vrishabha, Kanya, Makara): Tendency towards earning and accumulating wealth.</t>
        </is>
      </c>
    </row>
    <row r="31">
      <c r="A31" s="24" t="inlineStr">
        <is>
          <t>Kama</t>
        </is>
      </c>
      <c r="B31" s="25" t="inlineStr">
        <is>
          <t>Kama Triangle (Mithuna, Tula, Kumbha): How successful in achieving desires.</t>
        </is>
      </c>
    </row>
    <row r="32">
      <c r="A32" s="24" t="inlineStr">
        <is>
          <t>Moksha</t>
        </is>
      </c>
      <c r="B32" s="25" t="inlineStr">
        <is>
          <t>Moksha Triangle (Karkataka, Vrischika, Meena): Extent of achieving liberation.</t>
        </is>
      </c>
    </row>
    <row r="33">
      <c r="A33" s="24" t="n"/>
      <c r="B33" s="25" t="n"/>
    </row>
    <row r="34" ht="15.75" customHeight="1">
      <c r="A34" s="67" t="inlineStr">
        <is>
          <t>TRIGUNAS</t>
        </is>
      </c>
      <c r="B34" s="96" t="n"/>
    </row>
    <row r="35">
      <c r="A35" s="24" t="inlineStr">
        <is>
          <t>Sathvik</t>
        </is>
      </c>
      <c r="B35" s="25" t="inlineStr">
        <is>
          <t>Religious, happy, work without expecting anything in return, sacrifice, healthy.</t>
        </is>
      </c>
    </row>
    <row r="36">
      <c r="A36" s="24" t="inlineStr">
        <is>
          <t>Rajasika</t>
        </is>
      </c>
      <c r="B36" s="25" t="inlineStr">
        <is>
          <t>Materialistic, desires, lust, proud.</t>
        </is>
      </c>
    </row>
    <row r="37">
      <c r="A37" s="24" t="inlineStr">
        <is>
          <t>Tamasika</t>
        </is>
      </c>
      <c r="B37" s="25" t="inlineStr">
        <is>
          <t>Carelessness, laziness, anger, dull headed.</t>
        </is>
      </c>
    </row>
    <row r="38">
      <c r="A38" s="24" t="n"/>
      <c r="B38" s="25" t="n"/>
    </row>
    <row r="39" ht="15.75" customHeight="1">
      <c r="A39" s="67" t="inlineStr">
        <is>
          <t>CONSTITUTION (DHATU / MOOLA / JEEVA)</t>
        </is>
      </c>
      <c r="B39" s="96" t="n"/>
    </row>
    <row r="40">
      <c r="A40" s="24" t="inlineStr">
        <is>
          <t>Dhatu</t>
        </is>
      </c>
      <c r="B40" s="25" t="inlineStr">
        <is>
          <t>Non-living objects like metals, mineral objects.</t>
        </is>
      </c>
    </row>
    <row r="41">
      <c r="A41" s="24" t="inlineStr">
        <is>
          <t>Moola</t>
        </is>
      </c>
      <c r="B41" s="25" t="inlineStr">
        <is>
          <t>Living objects which have life but no movement like trees.</t>
        </is>
      </c>
    </row>
    <row r="42">
      <c r="A42" s="24" t="inlineStr">
        <is>
          <t>Jeeva</t>
        </is>
      </c>
      <c r="B42" s="25" t="inlineStr">
        <is>
          <t>Living beings like humans and animals.</t>
        </is>
      </c>
    </row>
    <row r="43">
      <c r="A43" s="24" t="inlineStr">
        <is>
          <t>Usage</t>
        </is>
      </c>
      <c r="B43" s="25" t="inlineStr">
        <is>
          <t>Mainly used for remedial purposes and in Prashna for identification of query.</t>
        </is>
      </c>
    </row>
    <row r="44">
      <c r="A44" s="24" t="n"/>
      <c r="B44" s="25" t="n"/>
    </row>
    <row r="45" ht="15.75" customHeight="1">
      <c r="A45" s="67" t="inlineStr">
        <is>
          <t>ODD / EVEN (MALE / FEMALE)</t>
        </is>
      </c>
      <c r="B45" s="96" t="n"/>
    </row>
    <row r="46">
      <c r="A46" s="24" t="inlineStr">
        <is>
          <t>Usage</t>
        </is>
      </c>
      <c r="B46" s="25" t="inlineStr">
        <is>
          <t>Used to find gender of siblings, children, etc.</t>
        </is>
      </c>
    </row>
    <row r="47">
      <c r="A47" s="24" t="inlineStr">
        <is>
          <t>Odd (Male)</t>
        </is>
      </c>
      <c r="B47" s="25" t="inlineStr">
        <is>
          <t>Masculine, energetic, aggressive.</t>
        </is>
      </c>
    </row>
    <row r="48">
      <c r="A48" s="24" t="inlineStr">
        <is>
          <t>Even (Female)</t>
        </is>
      </c>
      <c r="B48" s="25" t="inlineStr">
        <is>
          <t>Feminine, submissive, passive.</t>
        </is>
      </c>
    </row>
    <row r="49">
      <c r="A49" s="24" t="n"/>
      <c r="B49" s="25" t="n"/>
    </row>
    <row r="50" ht="15.75" customHeight="1">
      <c r="A50" s="67" t="inlineStr">
        <is>
          <t>BARREN &amp; FRUITFUL SIGNS</t>
        </is>
      </c>
      <c r="B50" s="96" t="n"/>
    </row>
    <row r="51">
      <c r="A51" s="24" t="inlineStr">
        <is>
          <t>Usage</t>
        </is>
      </c>
      <c r="B51" s="25" t="inlineStr">
        <is>
          <t>Used to know about marriage and children. Jala Tatwa Rashis are fertile and fruitful.</t>
        </is>
      </c>
    </row>
    <row r="52">
      <c r="A52" s="24" t="n"/>
      <c r="B52" s="25" t="n"/>
    </row>
    <row r="53" ht="15.75" customHeight="1">
      <c r="A53" s="67" t="inlineStr">
        <is>
          <t>DAY / NIGHT</t>
        </is>
      </c>
      <c r="B53" s="96" t="n"/>
    </row>
    <row r="54">
      <c r="A54" s="24" t="inlineStr">
        <is>
          <t>Nocturnal</t>
        </is>
      </c>
      <c r="B54" s="25" t="inlineStr">
        <is>
          <t>Signs powerful during Night.</t>
        </is>
      </c>
    </row>
    <row r="55">
      <c r="A55" s="24" t="inlineStr">
        <is>
          <t>Diurnal</t>
        </is>
      </c>
      <c r="B55" s="25" t="inlineStr">
        <is>
          <t>Signs powerful during Day.</t>
        </is>
      </c>
    </row>
    <row r="56">
      <c r="A56" s="24" t="n"/>
      <c r="B56" s="25" t="n"/>
    </row>
    <row r="57" ht="15.75" customHeight="1">
      <c r="A57" s="67" t="inlineStr">
        <is>
          <t>RISING POSITIONS</t>
        </is>
      </c>
      <c r="B57" s="96" t="n"/>
    </row>
    <row r="58">
      <c r="A58" s="24" t="inlineStr">
        <is>
          <t>Usage</t>
        </is>
      </c>
      <c r="B58" s="25" t="inlineStr">
        <is>
          <t>Used to know the success of a Prashna.</t>
        </is>
      </c>
    </row>
    <row r="59">
      <c r="A59" s="24" t="n"/>
      <c r="B59" s="25" t="n"/>
    </row>
    <row r="60" ht="15.75" customHeight="1">
      <c r="A60" s="67" t="inlineStr">
        <is>
          <t>LEGS CLASSIFICATION</t>
        </is>
      </c>
      <c r="B60" s="96" t="n"/>
    </row>
    <row r="61">
      <c r="A61" s="24" t="inlineStr">
        <is>
          <t>Note</t>
        </is>
      </c>
      <c r="B61" s="25" t="inlineStr">
        <is>
          <t>0 to 15 deg = first half, 15 to 30 deg = second half. Vanachara &gt; Dwipada &gt; (Jalachara = Keeta = Chatuspada).</t>
        </is>
      </c>
    </row>
    <row r="62">
      <c r="A62" s="24" t="n"/>
      <c r="B62" s="25" t="n"/>
    </row>
    <row r="63" ht="15.75" customHeight="1">
      <c r="A63" s="67" t="inlineStr">
        <is>
          <t>TRIDOSHA (MEDICAL ASTROLOGY)</t>
        </is>
      </c>
      <c r="B63" s="96" t="n"/>
    </row>
    <row r="64">
      <c r="A64" s="24" t="inlineStr">
        <is>
          <t>Usage</t>
        </is>
      </c>
      <c r="B64" s="25" t="inlineStr">
        <is>
          <t>Used in Medical astrology for knowing body constitution and diseases caused by imbalance.</t>
        </is>
      </c>
    </row>
    <row r="65">
      <c r="A65" s="24" t="inlineStr">
        <is>
          <t>Vatha</t>
        </is>
      </c>
      <c r="B65" s="25" t="inlineStr">
        <is>
          <t>Airy/Windy constitution.</t>
        </is>
      </c>
    </row>
    <row r="66">
      <c r="A66" s="24" t="inlineStr">
        <is>
          <t>Pitha</t>
        </is>
      </c>
      <c r="B66" s="25" t="inlineStr">
        <is>
          <t>Bilious constitution.</t>
        </is>
      </c>
    </row>
    <row r="67">
      <c r="A67" s="24" t="inlineStr">
        <is>
          <t>Kapha</t>
        </is>
      </c>
      <c r="B67" s="25" t="inlineStr">
        <is>
          <t>Phlegmatic constitution.</t>
        </is>
      </c>
    </row>
    <row r="68">
      <c r="A68" s="24" t="n"/>
      <c r="B68" s="25" t="n"/>
    </row>
    <row r="69" ht="15.75" customHeight="1">
      <c r="A69" s="67" t="inlineStr">
        <is>
          <t>JYOTHIRLINGAS — 12 Sacred Temples</t>
        </is>
      </c>
      <c r="B69" s="96" t="n"/>
    </row>
    <row r="70">
      <c r="A70" s="24" t="inlineStr">
        <is>
          <t>1. Somnath</t>
        </is>
      </c>
      <c r="B70" s="25" t="inlineStr">
        <is>
          <t>Prabhasapattan, near Veraval, Saurashtra, Gujarat</t>
        </is>
      </c>
    </row>
    <row r="71">
      <c r="A71" s="24" t="inlineStr">
        <is>
          <t>2. Mallikarjun</t>
        </is>
      </c>
      <c r="B71" s="25" t="inlineStr">
        <is>
          <t>Shrishailya, Andhra Pradesh</t>
        </is>
      </c>
    </row>
    <row r="72">
      <c r="A72" s="24" t="inlineStr">
        <is>
          <t>3. Mahanakal</t>
        </is>
      </c>
      <c r="B72" s="25" t="inlineStr">
        <is>
          <t>Ujjain, Madhya Pradesh</t>
        </is>
      </c>
    </row>
    <row r="73">
      <c r="A73" s="24" t="inlineStr">
        <is>
          <t>4. Omkareshwar</t>
        </is>
      </c>
      <c r="B73" s="25" t="inlineStr">
        <is>
          <t>Omkar, Mandhata, Madhya Pradesh</t>
        </is>
      </c>
    </row>
    <row r="74">
      <c r="A74" s="24" t="inlineStr">
        <is>
          <t>5. Kedarnath</t>
        </is>
      </c>
      <c r="B74" s="25" t="inlineStr">
        <is>
          <t>Himalayas</t>
        </is>
      </c>
    </row>
    <row r="75">
      <c r="A75" s="24" t="inlineStr">
        <is>
          <t>6. Bhimashankar</t>
        </is>
      </c>
      <c r="B75" s="25" t="inlineStr">
        <is>
          <t>Dakini region, Taluka Khed, District Pune, Maharashtra</t>
        </is>
      </c>
    </row>
    <row r="76">
      <c r="A76" s="24" t="inlineStr">
        <is>
          <t>7. Vishveshwar</t>
        </is>
      </c>
      <c r="B76" s="25" t="inlineStr">
        <is>
          <t>Varanasi, Uttar Pradesh</t>
        </is>
      </c>
    </row>
    <row r="77">
      <c r="A77" s="24" t="inlineStr">
        <is>
          <t>8. Tryambakeshwar</t>
        </is>
      </c>
      <c r="B77" s="25" t="inlineStr">
        <is>
          <t>Near Nashik, Maharashtra</t>
        </is>
      </c>
    </row>
    <row r="78">
      <c r="A78" s="24" t="inlineStr">
        <is>
          <t>9. Vaidyanath</t>
        </is>
      </c>
      <c r="B78" s="25" t="inlineStr">
        <is>
          <t>Parli, District Beed, Maharashtra</t>
        </is>
      </c>
    </row>
    <row r="79">
      <c r="A79" s="24" t="inlineStr">
        <is>
          <t>10. Nageshwara</t>
        </is>
      </c>
      <c r="B79" s="25" t="inlineStr">
        <is>
          <t>Darukavan, Oundh, District Hingoli, Maharashtra</t>
        </is>
      </c>
    </row>
    <row r="80">
      <c r="A80" s="24" t="inlineStr">
        <is>
          <t>11. Rameshwaram</t>
        </is>
      </c>
      <c r="B80" s="25" t="inlineStr">
        <is>
          <t>Setubandh, near Kanyakumari, Tamilnadu</t>
        </is>
      </c>
    </row>
    <row r="81">
      <c r="A81" s="24" t="inlineStr">
        <is>
          <t>12. Ghrushneshwar</t>
        </is>
      </c>
      <c r="B81" s="25" t="inlineStr">
        <is>
          <t>Verul, District Aurangabad, Maharashtra</t>
        </is>
      </c>
    </row>
    <row r="82">
      <c r="A82" s="24" t="n"/>
      <c r="B82" s="25" t="n"/>
    </row>
    <row r="83" ht="15.75" customHeight="1">
      <c r="A83" s="67" t="inlineStr">
        <is>
          <t>JANMA LAGNA vs JANMA RASHI</t>
        </is>
      </c>
      <c r="B83" s="96" t="n"/>
    </row>
    <row r="84" ht="30" customHeight="1">
      <c r="A84" s="24" t="inlineStr">
        <is>
          <t>Janma Lagna</t>
        </is>
      </c>
      <c r="B84" s="25" t="inlineStr">
        <is>
          <t>The sign (rashi) rising on the eastern horizon at birth. Shows physical body, personality, how people see you, your natural approach to life. Duration: ~2 hours per lagna (12 lagnas in 24 hours).</t>
        </is>
      </c>
    </row>
    <row r="85">
      <c r="A85" s="24" t="inlineStr">
        <is>
          <t>Janma Rashi</t>
        </is>
      </c>
      <c r="B85" s="25" t="inlineStr">
        <is>
          <t>The sign where Moon is placed. Indicates the mentality of the person.</t>
        </is>
      </c>
    </row>
    <row r="86">
      <c r="A86" s="26" t="inlineStr">
        <is>
          <t>Key Difference</t>
        </is>
      </c>
      <c r="B86" s="27" t="inlineStr">
        <is>
          <t>Janma Lagna = physical characteristics &amp; personality. Janma Rashi = mental characteristics &amp; inner nature.</t>
        </is>
      </c>
    </row>
    <row r="88" ht="18.75" customHeight="1">
      <c r="A88" s="72" t="inlineStr">
        <is>
          <t>SESSION 6 — PLANETS, SUN &amp; POSITIONAL STRENGTH (14/05/2026)</t>
        </is>
      </c>
    </row>
    <row r="90" ht="15.75" customHeight="1">
      <c r="A90" s="73" t="inlineStr">
        <is>
          <t>PLANETS &amp; SANSKRIT NAMES</t>
        </is>
      </c>
      <c r="B90" s="74" t="inlineStr">
        <is>
          <t>Each planet (Graha) travels through the 12 Rashis. The Nakshatras (stars) are like fixed platforms; planets are like trains moving over them.</t>
        </is>
      </c>
    </row>
    <row r="91">
      <c r="A91" s="2" t="inlineStr">
        <is>
          <t>Sun (Surya / Ravi)</t>
        </is>
      </c>
      <c r="B91" t="inlineStr">
        <is>
          <t>Symbol ☉ · ~30 days per Rashi · ~1 year to complete the zodiac.</t>
        </is>
      </c>
    </row>
    <row r="92">
      <c r="A92" s="2" t="inlineStr">
        <is>
          <t>Moon (Chandra)</t>
        </is>
      </c>
      <c r="B92" t="inlineStr">
        <is>
          <t>Symbol ☽ · ~2¼ days per Rashi · ~27 days for the zodiac.</t>
        </is>
      </c>
    </row>
    <row r="93">
      <c r="A93" s="2" t="inlineStr">
        <is>
          <t>Mars (Mangala / Kuja)</t>
        </is>
      </c>
      <c r="B93" t="inlineStr">
        <is>
          <t>Symbol ♂ · ~45–49 days per Rashi · ~1½ years for the zodiac.</t>
        </is>
      </c>
    </row>
    <row r="94">
      <c r="A94" s="2" t="inlineStr">
        <is>
          <t>Mercury (Budha)</t>
        </is>
      </c>
      <c r="B94" t="inlineStr">
        <is>
          <t>Symbol ☿ · ~24 days per Rashi · ~288 days for the zodiac (approx).</t>
        </is>
      </c>
    </row>
    <row r="95">
      <c r="A95" s="2" t="inlineStr">
        <is>
          <t>Jupiter (Guru)</t>
        </is>
      </c>
      <c r="B95" t="inlineStr">
        <is>
          <t>Symbol ♃ · ~1 year per Rashi · ~12 years for the zodiac.</t>
        </is>
      </c>
    </row>
    <row r="96">
      <c r="A96" s="2" t="inlineStr">
        <is>
          <t>Venus (Shukra)</t>
        </is>
      </c>
      <c r="B96" t="inlineStr">
        <is>
          <t>Symbol ♀ · ~25–27 days per Rashi · ~324 days for the zodiac (approx).</t>
        </is>
      </c>
    </row>
    <row r="97">
      <c r="A97" s="2" t="inlineStr">
        <is>
          <t>Saturn (Shani)</t>
        </is>
      </c>
      <c r="B97" t="inlineStr">
        <is>
          <t>Symbol ♄ · ~2½ years per Rashi · ~30 years for the zodiac.</t>
        </is>
      </c>
    </row>
    <row r="98">
      <c r="A98" s="2" t="inlineStr">
        <is>
          <t>Rahu (Ascending Node / Dragon Head)</t>
        </is>
      </c>
      <c r="B98" t="inlineStr">
        <is>
          <t>Symbol ☊ · ~1½ years per Rashi · ~18 years for the zodiac. Moves in retrograde direction.</t>
        </is>
      </c>
    </row>
    <row r="99">
      <c r="A99" s="2" t="inlineStr">
        <is>
          <t>Ketu (Descending Node / Dragon Tail)</t>
        </is>
      </c>
      <c r="B99" t="inlineStr">
        <is>
          <t>Symbol ☋ · ~1½ years per Rashi · ~18 years for the zodiac. Always opposite Rahu.</t>
        </is>
      </c>
    </row>
    <row r="101" ht="15.75" customHeight="1">
      <c r="A101" s="73" t="inlineStr">
        <is>
          <t>INNER vs OUTER PLANETS</t>
        </is>
      </c>
    </row>
    <row r="102">
      <c r="A102" s="2" t="inlineStr">
        <is>
          <t>Inner Planets</t>
        </is>
      </c>
      <c r="B102" t="inlineStr">
        <is>
          <t>Sun, Mercury, Venus and Moon — have only ONE aspect: the 7th aspect from their position.</t>
        </is>
      </c>
    </row>
    <row r="103">
      <c r="A103" s="2" t="inlineStr">
        <is>
          <t>Outer Planets</t>
        </is>
      </c>
      <c r="B103" t="inlineStr">
        <is>
          <t>Mars, Jupiter and Saturn — in addition to the 7th aspect, each has TWO more special aspects (covered in detail in later sessions).</t>
        </is>
      </c>
    </row>
    <row r="105" ht="15.75" customHeight="1">
      <c r="A105" s="73" t="inlineStr">
        <is>
          <t>RASHI ADIPATHIS (Lords of the 12 Rashis)</t>
        </is>
      </c>
      <c r="B105" t="inlineStr">
        <is>
          <t>Every Rashi has a planetary lord. Sun and Moon each rule one rashi; the other five planets rule two rashis each. Rahu/Ketu do not own any rashi.</t>
        </is>
      </c>
    </row>
    <row r="106">
      <c r="A106" s="2" t="inlineStr">
        <is>
          <t>1. Mesha (Aries)</t>
        </is>
      </c>
      <c r="B106" t="inlineStr">
        <is>
          <t>Mars</t>
        </is>
      </c>
    </row>
    <row r="107">
      <c r="A107" s="2" t="inlineStr">
        <is>
          <t>2. Vrishabha (Taurus)</t>
        </is>
      </c>
      <c r="B107" t="inlineStr">
        <is>
          <t>Venus</t>
        </is>
      </c>
    </row>
    <row r="108">
      <c r="A108" s="2" t="inlineStr">
        <is>
          <t>3. Mithuna (Gemini)</t>
        </is>
      </c>
      <c r="B108" t="inlineStr">
        <is>
          <t>Mercury</t>
        </is>
      </c>
    </row>
    <row r="109">
      <c r="A109" s="2" t="inlineStr">
        <is>
          <t>4. Karkataka (Cancer)</t>
        </is>
      </c>
      <c r="B109" t="inlineStr">
        <is>
          <t>Moon</t>
        </is>
      </c>
    </row>
    <row r="110">
      <c r="A110" s="2" t="inlineStr">
        <is>
          <t>5. Simha (Leo)</t>
        </is>
      </c>
      <c r="B110" t="inlineStr">
        <is>
          <t>Sun</t>
        </is>
      </c>
    </row>
    <row r="111">
      <c r="A111" s="2" t="inlineStr">
        <is>
          <t>6. Kanya (Virgo)</t>
        </is>
      </c>
      <c r="B111" t="inlineStr">
        <is>
          <t>Mercury</t>
        </is>
      </c>
    </row>
    <row r="112">
      <c r="A112" s="2" t="inlineStr">
        <is>
          <t>7. Tula (Libra)</t>
        </is>
      </c>
      <c r="B112" t="inlineStr">
        <is>
          <t>Venus</t>
        </is>
      </c>
    </row>
    <row r="113">
      <c r="A113" s="2" t="inlineStr">
        <is>
          <t>8. Vrischika (Scorpio)</t>
        </is>
      </c>
      <c r="B113" t="inlineStr">
        <is>
          <t>Mars</t>
        </is>
      </c>
    </row>
    <row r="114">
      <c r="A114" s="2" t="inlineStr">
        <is>
          <t>9. Dhanur (Sagittarius)</t>
        </is>
      </c>
      <c r="B114" t="inlineStr">
        <is>
          <t>Jupiter</t>
        </is>
      </c>
    </row>
    <row r="115">
      <c r="A115" s="2" t="inlineStr">
        <is>
          <t>10. Makara (Capricorn)</t>
        </is>
      </c>
      <c r="B115" t="inlineStr">
        <is>
          <t>Saturn</t>
        </is>
      </c>
    </row>
    <row r="116">
      <c r="A116" s="2" t="inlineStr">
        <is>
          <t>11. Kumbha (Aquarius)</t>
        </is>
      </c>
      <c r="B116" t="inlineStr">
        <is>
          <t>Saturn</t>
        </is>
      </c>
    </row>
    <row r="117">
      <c r="A117" s="2" t="inlineStr">
        <is>
          <t>12. Meena (Pisces)</t>
        </is>
      </c>
      <c r="B117" t="inlineStr">
        <is>
          <t>Jupiter</t>
        </is>
      </c>
    </row>
    <row r="119" ht="15.75" customHeight="1">
      <c r="A119" s="73" t="inlineStr">
        <is>
          <t>ABOUT SUN GOD (SURYA)</t>
        </is>
      </c>
    </row>
    <row r="120">
      <c r="A120" s="2" t="inlineStr">
        <is>
          <t>Dasha Avatara</t>
        </is>
      </c>
      <c r="B120" t="inlineStr">
        <is>
          <t>Lord Rama</t>
        </is>
      </c>
    </row>
    <row r="121">
      <c r="A121" s="2" t="inlineStr">
        <is>
          <t>Birthday</t>
        </is>
      </c>
      <c r="B121" t="inlineStr">
        <is>
          <t>Prabhava Samvatsara, Magha Masa, Shukla Sapthami</t>
        </is>
      </c>
    </row>
    <row r="122">
      <c r="A122" s="2" t="inlineStr">
        <is>
          <t>Gothra</t>
        </is>
      </c>
      <c r="B122" t="inlineStr">
        <is>
          <t>Kashyapa</t>
        </is>
      </c>
    </row>
    <row r="123">
      <c r="A123" s="2" t="inlineStr">
        <is>
          <t>Wives</t>
        </is>
      </c>
      <c r="B123" t="inlineStr">
        <is>
          <t>Sanjna &amp; Chaya</t>
        </is>
      </c>
    </row>
    <row r="124">
      <c r="A124" s="2" t="inlineStr">
        <is>
          <t>Vehicle</t>
        </is>
      </c>
      <c r="B124" t="inlineStr">
        <is>
          <t>7 horses</t>
        </is>
      </c>
    </row>
    <row r="125">
      <c r="A125" s="2" t="inlineStr">
        <is>
          <t>Number (Numerology)</t>
        </is>
      </c>
      <c r="B125" t="n">
        <v>1</v>
      </c>
    </row>
    <row r="127" ht="15.75" customHeight="1">
      <c r="A127" s="73" t="inlineStr">
        <is>
          <t>KARAKATWAS (Significations) OF SUN</t>
        </is>
      </c>
      <c r="B127" s="74" t="inlineStr">
        <is>
          <t>The Sun represents the following in a horoscope:</t>
        </is>
      </c>
    </row>
    <row r="128">
      <c r="A128" s="2" t="inlineStr">
        <is>
          <t>Soul (Atma)</t>
        </is>
      </c>
      <c r="B128" t="inlineStr">
        <is>
          <t>Sun is the Karaka (significator) of the soul — the inner self.</t>
        </is>
      </c>
    </row>
    <row r="129">
      <c r="A129" s="2" t="inlineStr">
        <is>
          <t>Vitality &amp; General Health</t>
        </is>
      </c>
      <c r="B129" t="inlineStr">
        <is>
          <t>Life force, energy, and overall constitution.</t>
        </is>
      </c>
    </row>
    <row r="130">
      <c r="A130" s="2" t="inlineStr">
        <is>
          <t>Authority &amp; Government</t>
        </is>
      </c>
      <c r="B130" t="inlineStr">
        <is>
          <t>Power, position, government service, dealings with authorities.</t>
        </is>
      </c>
    </row>
    <row r="131">
      <c r="A131" s="2" t="inlineStr">
        <is>
          <t>Father / Father-in-law</t>
        </is>
      </c>
      <c r="B131" t="inlineStr">
        <is>
          <t>Karaka of paternal figures and their wellbeing.</t>
        </is>
      </c>
    </row>
    <row r="132">
      <c r="A132" s="2" t="inlineStr">
        <is>
          <t>Ego &amp; Self-Esteem</t>
        </is>
      </c>
      <c r="B132" t="inlineStr">
        <is>
          <t>Sense of self, pride, self-importance.</t>
        </is>
      </c>
    </row>
    <row r="133">
      <c r="A133" s="2" t="inlineStr">
        <is>
          <t>Name, Fame &amp; Reputation</t>
        </is>
      </c>
      <c r="B133" t="inlineStr">
        <is>
          <t>Public recognition, visibility, status in society.</t>
        </is>
      </c>
    </row>
    <row r="134">
      <c r="A134" s="2" t="inlineStr">
        <is>
          <t>Leadership &amp; Administration</t>
        </is>
      </c>
      <c r="B134" t="inlineStr">
        <is>
          <t>Boss-type roles, management, influential positions.</t>
        </is>
      </c>
    </row>
    <row r="135">
      <c r="A135" s="2" t="inlineStr">
        <is>
          <t>Open-hearted, Equality, Generous</t>
        </is>
      </c>
      <c r="B135" t="inlineStr">
        <is>
          <t>Magnanimity, broad-minded approach, high expectations.</t>
        </is>
      </c>
    </row>
    <row r="136">
      <c r="A136" s="2" t="inlineStr">
        <is>
          <t>Punctuality &amp; Discipline</t>
        </is>
      </c>
      <c r="B136" t="inlineStr">
        <is>
          <t>Vertical posture, structured behaviour, permanent income.</t>
        </is>
      </c>
    </row>
    <row r="137">
      <c r="A137" s="2" t="inlineStr">
        <is>
          <t>Eyes &amp; Heart</t>
        </is>
      </c>
      <c r="B137" t="inlineStr">
        <is>
          <t>Body parts ruled: eyes, heart, spine and bones.</t>
        </is>
      </c>
    </row>
    <row r="138">
      <c r="A138" s="2" t="inlineStr">
        <is>
          <t>Hot Planet / Pitta</t>
        </is>
      </c>
      <c r="B138" t="inlineStr">
        <is>
          <t>Pitta constitution — fiery, heat-producing nature.</t>
        </is>
      </c>
    </row>
    <row r="139">
      <c r="A139" s="2" t="inlineStr">
        <is>
          <t>Separative Planet</t>
        </is>
      </c>
      <c r="B139" t="inlineStr">
        <is>
          <t>Causes separation from people / things signified by the house it occupies. Also causes COMBUSTION to any planet placed close to it.</t>
        </is>
      </c>
    </row>
    <row r="141" ht="15.75" customHeight="1">
      <c r="A141" s="73" t="inlineStr">
        <is>
          <t>OPPOSITE RASHIS (7th from each other)</t>
        </is>
      </c>
      <c r="B141" t="inlineStr">
        <is>
          <t>Each rashi has an opposite rashi 180° away. Useful for understanding 7th aspect, debilitation (always opposite exaltation), and partnerships.</t>
        </is>
      </c>
    </row>
    <row r="142">
      <c r="A142" s="2" t="inlineStr">
        <is>
          <t>Mesha ↔ Tula</t>
        </is>
      </c>
      <c r="B142" t="inlineStr">
        <is>
          <t>Aries opposite Libra</t>
        </is>
      </c>
    </row>
    <row r="143">
      <c r="A143" s="2" t="inlineStr">
        <is>
          <t>Vrishabha ↔ Vrischika</t>
        </is>
      </c>
      <c r="B143" t="inlineStr">
        <is>
          <t>Taurus opposite Scorpio</t>
        </is>
      </c>
    </row>
    <row r="144">
      <c r="A144" s="2" t="inlineStr">
        <is>
          <t>Mithuna ↔ Dhanur</t>
        </is>
      </c>
      <c r="B144" t="inlineStr">
        <is>
          <t>Gemini opposite Sagittarius</t>
        </is>
      </c>
    </row>
    <row r="145">
      <c r="A145" s="2" t="inlineStr">
        <is>
          <t>Karkataka ↔ Makara</t>
        </is>
      </c>
      <c r="B145" t="inlineStr">
        <is>
          <t>Cancer opposite Capricorn</t>
        </is>
      </c>
    </row>
    <row r="146">
      <c r="A146" s="2" t="inlineStr">
        <is>
          <t>Simha ↔ Kumbha</t>
        </is>
      </c>
      <c r="B146" t="inlineStr">
        <is>
          <t>Leo opposite Aquarius</t>
        </is>
      </c>
    </row>
    <row r="147">
      <c r="A147" s="2" t="inlineStr">
        <is>
          <t>Kanya ↔ Meena</t>
        </is>
      </c>
      <c r="B147" t="inlineStr">
        <is>
          <t>Virgo opposite Pisces</t>
        </is>
      </c>
    </row>
    <row r="149" ht="15.75" customHeight="1">
      <c r="A149" s="73" t="inlineStr">
        <is>
          <t>ASPECT (DRISHTI) OF SUN</t>
        </is>
      </c>
      <c r="B149" t="inlineStr">
        <is>
          <t>Sun is an Inner Planet — it casts only its 7th aspect from its position. Example: Sun in Mesha aspects Tula (the 7th rashi from Mesha).</t>
        </is>
      </c>
    </row>
    <row r="151" ht="15.75" customHeight="1">
      <c r="A151" s="73" t="inlineStr">
        <is>
          <t>MOVEMENT OF SUN: UTTARAYANA / DAKSHINAYANA / SANKRAMANA</t>
        </is>
      </c>
    </row>
    <row r="152">
      <c r="A152" s="2" t="inlineStr">
        <is>
          <t>Uttarayana</t>
        </is>
      </c>
      <c r="B152" t="inlineStr">
        <is>
          <t>Sun's northward journey through Makara → Kumbha → Meena → Mesha → Vrishabha → Mithuna. Begins on Makara Shankranthi (Jan 14/15) when Sun enters Makara rashi. Considered an auspicious period.</t>
        </is>
      </c>
    </row>
    <row r="153">
      <c r="A153" s="2" t="inlineStr">
        <is>
          <t>Dakshinayana</t>
        </is>
      </c>
      <c r="B153" t="inlineStr">
        <is>
          <t>Sun's southward journey through Karkataka → Simha → Kanya → Tula → Vrischika → Dhanur. Begins around Jul 16/17 when Sun enters Karkataka.</t>
        </is>
      </c>
    </row>
    <row r="154">
      <c r="A154" s="2" t="inlineStr">
        <is>
          <t>Sankramana (Solar Ingress)</t>
        </is>
      </c>
      <c r="B154" t="inlineStr">
        <is>
          <t>The day on which Sun moves from one rashi into the next. On this day, NO auspicious events (Muhurtha for Marriage, Upanayana, Namakarana, etc.) should be fixed.</t>
        </is>
      </c>
    </row>
    <row r="155">
      <c r="A155" s="2" t="inlineStr">
        <is>
          <t>Solar Month (Masa)</t>
        </is>
      </c>
      <c r="B155" t="inlineStr">
        <is>
          <t>Named after the rashi the Sun currently occupies. E.g. Sun in Vrishabha = Vrishabha Masa.</t>
        </is>
      </c>
    </row>
    <row r="157" ht="15.75" customHeight="1">
      <c r="A157" s="73" t="inlineStr">
        <is>
          <t>APPROXIMATE DATES OF SOLAR INGRESS (Sun entering each Rashi)</t>
        </is>
      </c>
    </row>
    <row r="158">
      <c r="A158" s="2" t="inlineStr">
        <is>
          <t>Mesha (Aries)</t>
        </is>
      </c>
      <c r="B158" t="inlineStr">
        <is>
          <t>Apr 14/15 — Mesha Sankramana / Solar New Year</t>
        </is>
      </c>
    </row>
    <row r="159">
      <c r="A159" s="2" t="inlineStr">
        <is>
          <t>Vrishabha (Taurus)</t>
        </is>
      </c>
      <c r="B159" t="inlineStr">
        <is>
          <t>May 14/15</t>
        </is>
      </c>
    </row>
    <row r="160">
      <c r="A160" s="2" t="inlineStr">
        <is>
          <t>Mithuna (Gemini)</t>
        </is>
      </c>
      <c r="B160" t="inlineStr">
        <is>
          <t>Jun 14/15</t>
        </is>
      </c>
    </row>
    <row r="161">
      <c r="A161" s="2" t="inlineStr">
        <is>
          <t>Karkataka (Cancer)</t>
        </is>
      </c>
      <c r="B161" t="inlineStr">
        <is>
          <t>Jul 16/17 — Start of DAKSHINAYANA</t>
        </is>
      </c>
    </row>
    <row r="162">
      <c r="A162" s="2" t="inlineStr">
        <is>
          <t>Simha (Leo)</t>
        </is>
      </c>
      <c r="B162" t="inlineStr">
        <is>
          <t>Aug 16/17</t>
        </is>
      </c>
    </row>
    <row r="163">
      <c r="A163" s="2" t="inlineStr">
        <is>
          <t>Kanya (Virgo)</t>
        </is>
      </c>
      <c r="B163" t="inlineStr">
        <is>
          <t>Sep 16/17</t>
        </is>
      </c>
    </row>
    <row r="164">
      <c r="A164" s="2" t="inlineStr">
        <is>
          <t>Tula (Libra)</t>
        </is>
      </c>
      <c r="B164" t="inlineStr">
        <is>
          <t>Oct 17/18</t>
        </is>
      </c>
    </row>
    <row r="165">
      <c r="A165" s="2" t="inlineStr">
        <is>
          <t>Vrischika (Scorpio)</t>
        </is>
      </c>
      <c r="B165" t="inlineStr">
        <is>
          <t>Nov 16/17</t>
        </is>
      </c>
    </row>
    <row r="166">
      <c r="A166" s="2" t="inlineStr">
        <is>
          <t>Dhanur (Sagittarius)</t>
        </is>
      </c>
      <c r="B166" t="inlineStr">
        <is>
          <t>Dec 15/16</t>
        </is>
      </c>
    </row>
    <row r="167">
      <c r="A167" s="2" t="inlineStr">
        <is>
          <t>Makara (Capricorn)</t>
        </is>
      </c>
      <c r="B167" t="inlineStr">
        <is>
          <t>Jan 14/15 — MAKARA SHANKRANTHI / Start of UTTARAYANA</t>
        </is>
      </c>
    </row>
    <row r="168">
      <c r="A168" s="2" t="inlineStr">
        <is>
          <t>Kumbha (Aquarius)</t>
        </is>
      </c>
      <c r="B168" t="inlineStr">
        <is>
          <t>Feb 14/15</t>
        </is>
      </c>
    </row>
    <row r="169">
      <c r="A169" s="2" t="inlineStr">
        <is>
          <t>Meena (Pisces)</t>
        </is>
      </c>
      <c r="B169" t="inlineStr">
        <is>
          <t>Mar 14/15</t>
        </is>
      </c>
    </row>
    <row r="171" ht="15.75" customHeight="1">
      <c r="A171" s="73" t="inlineStr">
        <is>
          <t>STHANA BALA (POSITIONAL STRENGTH) OF PLANETS</t>
        </is>
      </c>
      <c r="B171" t="inlineStr">
        <is>
          <t>Strength of a planet based on the rashi it occupies, from strongest to weakest.</t>
        </is>
      </c>
    </row>
    <row r="172">
      <c r="A172" s="2" t="inlineStr">
        <is>
          <t>Strongest → Weakest order</t>
        </is>
      </c>
      <c r="B172" t="inlineStr">
        <is>
          <t>1. Exaltation → 2. Moola Trikona → 3. Own House → 4. Friend's House → 5. Neutral House → 6. Enemy's House → 7. Debilitation</t>
        </is>
      </c>
    </row>
    <row r="174">
      <c r="A174" s="2" t="inlineStr">
        <is>
          <t>Exaltation (Uchha Sthana)</t>
        </is>
      </c>
      <c r="B174" t="inlineStr">
        <is>
          <t>The rashi where a planet expresses its qualities in the strongest, purest, most powerful way — like a king sitting on a royal throne. Each planet has ONE sign of exaltation.</t>
        </is>
      </c>
    </row>
    <row r="175">
      <c r="A175" s="2" t="inlineStr">
        <is>
          <t>Debilitation (Neecha Sthana)</t>
        </is>
      </c>
      <c r="B175" t="inlineStr">
        <is>
          <t>The rashi where a planet feels weak, uncomfortable, restricted — always 7th from (180° opposite to) its exaltation rashi. Like a king placed in a foreign land. Results still come, but with struggle, delay, imbalance, or immaturity.</t>
        </is>
      </c>
    </row>
    <row r="176">
      <c r="A176" s="2" t="inlineStr">
        <is>
          <t>Moola Trikona</t>
        </is>
      </c>
      <c r="B176" t="inlineStr">
        <is>
          <t>A special core working zone within a rashi where the planet feels stable, powerful, and naturally able to express its true nature — like a king ruling his own kingdom.</t>
        </is>
      </c>
    </row>
    <row r="177">
      <c r="A177" s="2" t="inlineStr">
        <is>
          <t>Own Sign (Swakshetra)</t>
        </is>
      </c>
      <c r="B177" t="inlineStr">
        <is>
          <t>The rashi(s) that the planet lords — like being comfortably at home with family.</t>
        </is>
      </c>
    </row>
    <row r="179">
      <c r="A179" s="75" t="inlineStr">
        <is>
          <t>King analogy</t>
        </is>
      </c>
      <c r="B179" s="74" t="inlineStr">
        <is>
          <t>Exaltation = king honoured at a grand celebration (highest power). Moola Trikona = king ruling his own kingdom (mastery &amp; balance). Own Sign = king relaxing at home (comfort &amp; stability).</t>
        </is>
      </c>
    </row>
    <row r="181" ht="15.75" customHeight="1">
      <c r="A181" s="73" t="inlineStr">
        <is>
          <t>STHANA BALA OF SUN — Quantum of Strength</t>
        </is>
      </c>
    </row>
    <row r="182">
      <c r="A182" s="76" t="inlineStr">
        <is>
          <t>Position</t>
        </is>
      </c>
      <c r="B182" s="76" t="inlineStr">
        <is>
          <t>Sanskrit name / Degree / Strength %</t>
        </is>
      </c>
    </row>
    <row r="183">
      <c r="A183" s="2" t="inlineStr">
        <is>
          <t>Exaltation (Uchha)</t>
        </is>
      </c>
      <c r="B183" t="inlineStr">
        <is>
          <t>Garvita (Proud) / Deepta (Bright) · Deep exaltation point = 10° Mesha · Strength = 100%</t>
        </is>
      </c>
    </row>
    <row r="184">
      <c r="A184" s="2" t="inlineStr">
        <is>
          <t>Moola Trikona</t>
        </is>
      </c>
      <c r="B184" t="inlineStr">
        <is>
          <t>Sukitha · 0° to 20° of Simha · Strength = 75%</t>
        </is>
      </c>
    </row>
    <row r="185">
      <c r="A185" s="2" t="inlineStr">
        <is>
          <t>Own House</t>
        </is>
      </c>
      <c r="B185" t="inlineStr">
        <is>
          <t>Swastha (Content) · Simha (20°–30°) · Strength = 50%</t>
        </is>
      </c>
    </row>
    <row r="186">
      <c r="A186" s="2" t="inlineStr">
        <is>
          <t>Friend's House</t>
        </is>
      </c>
      <c r="B186" t="inlineStr">
        <is>
          <t>Mudita (Delighted) / Shantha (Peaceful)</t>
        </is>
      </c>
    </row>
    <row r="187">
      <c r="A187" s="2" t="inlineStr">
        <is>
          <t>Neutral House</t>
        </is>
      </c>
      <c r="B187" t="inlineStr">
        <is>
          <t>Neutral / moderate strength</t>
        </is>
      </c>
    </row>
    <row r="188">
      <c r="A188" s="2" t="inlineStr">
        <is>
          <t>Enemy's House</t>
        </is>
      </c>
      <c r="B188" t="inlineStr">
        <is>
          <t>Dukitha (Sad)</t>
        </is>
      </c>
    </row>
    <row r="189">
      <c r="A189" s="2" t="inlineStr">
        <is>
          <t>Debilitation (Neecha)</t>
        </is>
      </c>
      <c r="B189" t="inlineStr">
        <is>
          <t>Deena (Distressed) / Susupti (Sleeping) · Deep debilitation point = 10° Tula · Strength = lowest</t>
        </is>
      </c>
    </row>
    <row r="191" ht="15.75" customHeight="1">
      <c r="A191" s="73" t="inlineStr">
        <is>
          <t>COMBUSTION (ASTHANGATA)</t>
        </is>
      </c>
      <c r="B191" t="inlineStr">
        <is>
          <t>When a planet comes very near the Sun, it gets burnt by the Sun's heat — loses its luster and shine, becomes almost powerless. The affected planet is called a Combust Planet.</t>
        </is>
      </c>
    </row>
    <row r="192">
      <c r="A192" s="2" t="inlineStr">
        <is>
          <t>Combustion Range</t>
        </is>
      </c>
      <c r="B192" t="inlineStr">
        <is>
          <t>Sun's Degree ± 5°. Any planet within this 10° window (and in same/adjacent rashi accounting for the wrap) is combust.</t>
        </is>
      </c>
    </row>
    <row r="193">
      <c r="A193" s="75" t="inlineStr">
        <is>
          <t>Example 1</t>
        </is>
      </c>
      <c r="B193" t="inlineStr">
        <is>
          <t>Sun at 12° Mithuna → Combust range = 7° to 17° Mithuna. If Mercury is at 9° Mithuna → Combust. If Venus is at 26° Mithuna → NOT combust.</t>
        </is>
      </c>
    </row>
    <row r="194">
      <c r="A194" s="75" t="inlineStr">
        <is>
          <t>Example 2 (wrap-around)</t>
        </is>
      </c>
      <c r="B194" t="inlineStr">
        <is>
          <t>Sun at 2° Makara → 2° − 5° = −3° → deduct from previous rashi: 30° − 3° = 27° Dhanur. So combust range = 27° Dhanur to 7° Makara.</t>
        </is>
      </c>
    </row>
    <row r="196" ht="15.75" customHeight="1">
      <c r="A196" s="73" t="inlineStr">
        <is>
          <t>EFFECTS OF COMBUSTION (Sun = Ego, so the combust planet's signification gets infused with ego)</t>
        </is>
      </c>
    </row>
    <row r="197">
      <c r="A197" s="2" t="inlineStr">
        <is>
          <t>Combust Moon (Mind)</t>
        </is>
      </c>
      <c r="B197" t="inlineStr">
        <is>
          <t>Mind is filled with ego — the person cannot think with clarity.</t>
        </is>
      </c>
    </row>
    <row r="198">
      <c r="A198" s="2" t="inlineStr">
        <is>
          <t>Combust Mars (Stamina)</t>
        </is>
      </c>
      <c r="B198" t="inlineStr">
        <is>
          <t>Overconfidence — feels they can beat anyone, in a real fight or with words.</t>
        </is>
      </c>
    </row>
    <row r="199">
      <c r="A199" s="2" t="inlineStr">
        <is>
          <t>Combust Mercury (Intellect)</t>
        </is>
      </c>
      <c r="B199" t="inlineStr">
        <is>
          <t>Person feels he is the most intelligent.</t>
        </is>
      </c>
    </row>
    <row r="200">
      <c r="A200" s="2" t="inlineStr">
        <is>
          <t>Combust Jupiter (Wisdom)</t>
        </is>
      </c>
      <c r="B200" t="inlineStr">
        <is>
          <t>Feels he knows everything — no need of a Guru, God or any guidance.</t>
        </is>
      </c>
    </row>
    <row r="201">
      <c r="A201" s="2" t="inlineStr">
        <is>
          <t>Combust Venus (Comforts)</t>
        </is>
      </c>
      <c r="B201" t="inlineStr">
        <is>
          <t>Lot of unnecessary expenditure on comforts, sexual pleasures, love and entertainment.</t>
        </is>
      </c>
    </row>
    <row r="202">
      <c r="A202" s="2" t="inlineStr">
        <is>
          <t>Combust Saturn (Work)</t>
        </is>
      </c>
      <c r="B202" t="inlineStr">
        <is>
          <t>Postpones things — thinks they can finish in time even if they start late.</t>
        </is>
      </c>
    </row>
    <row r="204" ht="15.75" customHeight="1">
      <c r="A204" s="73" t="inlineStr">
        <is>
          <t>EXALTATION / DEBILITATION / MOOLA TRIKONA — SUN</t>
        </is>
      </c>
    </row>
    <row r="205">
      <c r="A205" s="2" t="inlineStr">
        <is>
          <t>Exaltation (Uchha) of Sun</t>
        </is>
      </c>
      <c r="B205" t="inlineStr">
        <is>
          <t>Mesha (Aries) · Deep exaltation point = 10° Mesha</t>
        </is>
      </c>
    </row>
    <row r="206">
      <c r="A206" s="2" t="inlineStr">
        <is>
          <t>Debilitation (Neecha) of Sun</t>
        </is>
      </c>
      <c r="B206" t="inlineStr">
        <is>
          <t>Tula (Libra) · Deep debilitation point = 10° Tula · Always 180° opposite the exaltation rashi</t>
        </is>
      </c>
    </row>
    <row r="207">
      <c r="A207" s="2" t="inlineStr">
        <is>
          <t>Moola Trikona of Sun</t>
        </is>
      </c>
      <c r="B207" t="inlineStr">
        <is>
          <t>0° to 20° of Simha (Leo)</t>
        </is>
      </c>
    </row>
    <row r="208">
      <c r="A208" s="2" t="inlineStr">
        <is>
          <t>Own House (Swakshetra) of Sun</t>
        </is>
      </c>
      <c r="B208" t="inlineStr">
        <is>
          <t>Simha (Leo) — 20° to 30° portion (since 0–0 is Moola Trikona)</t>
        </is>
      </c>
    </row>
  </sheetData>
  <mergeCells count="15">
    <mergeCell ref="A25:B25"/>
    <mergeCell ref="A57:B57"/>
    <mergeCell ref="A60:B60"/>
    <mergeCell ref="A19:B19"/>
    <mergeCell ref="A63:B63"/>
    <mergeCell ref="A45:B45"/>
    <mergeCell ref="A28:B28"/>
    <mergeCell ref="A69:B69"/>
    <mergeCell ref="A83:B83"/>
    <mergeCell ref="A39:B39"/>
    <mergeCell ref="A1:B1"/>
    <mergeCell ref="A3:B3"/>
    <mergeCell ref="A53:B53"/>
    <mergeCell ref="A34:B34"/>
    <mergeCell ref="A50:B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U16"/>
  <sheetViews>
    <sheetView workbookViewId="0">
      <selection activeCell="U16" sqref="U16"/>
    </sheetView>
  </sheetViews>
  <sheetFormatPr baseColWidth="8" defaultRowHeight="15"/>
  <cols>
    <col width="16" customWidth="1" min="3" max="3"/>
    <col hidden="1" width="23" customWidth="1" min="4" max="4"/>
    <col hidden="1" width="13.7109375" customWidth="1" min="5" max="5"/>
    <col hidden="1" width="21.7109375" customWidth="1" min="6" max="6"/>
    <col hidden="1" width="19.42578125" customWidth="1" min="7" max="7"/>
    <col hidden="1" min="8" max="8"/>
    <col hidden="1" width="15.85546875" customWidth="1" min="9" max="9"/>
    <col hidden="1" width="17.42578125" customWidth="1" min="10" max="10"/>
    <col hidden="1" width="11.85546875" customWidth="1" min="11" max="11"/>
    <col hidden="1" width="15.28515625" customWidth="1" min="12" max="12"/>
    <col hidden="1" width="17.5703125" customWidth="1" min="13" max="13"/>
    <col width="14.7109375" customWidth="1" min="14" max="14"/>
    <col hidden="1" width="36.5703125" customWidth="1" min="15" max="15"/>
    <col hidden="1" min="16" max="16"/>
    <col hidden="1" width="17.7109375" customWidth="1" min="17" max="17"/>
    <col hidden="1" width="27.7109375" customWidth="1" min="18" max="18"/>
    <col hidden="1" width="41.7109375" customWidth="1" min="19" max="19"/>
    <col hidden="1" width="35.42578125" customWidth="1" min="20" max="20"/>
    <col width="87.7109375" customWidth="1" min="21" max="21"/>
  </cols>
  <sheetData>
    <row r="4" ht="49.5" customHeight="1">
      <c r="A4" s="1" t="inlineStr">
        <is>
          <t>House</t>
        </is>
      </c>
      <c r="B4" s="1" t="inlineStr">
        <is>
          <t>Name</t>
        </is>
      </c>
      <c r="C4" s="1" t="inlineStr">
        <is>
          <t>English Name</t>
        </is>
      </c>
      <c r="D4" s="1" t="inlineStr">
        <is>
          <t>Odd (Male)/ Even (Female)</t>
        </is>
      </c>
      <c r="E4" s="1" t="inlineStr">
        <is>
          <t>Chara/Sthira/Dwisabhava</t>
        </is>
      </c>
      <c r="F4" s="1" t="inlineStr">
        <is>
          <t>Abni/Vayu/Prithvi/Jala</t>
        </is>
      </c>
      <c r="G4" s="1" t="inlineStr">
        <is>
          <t>NEWS</t>
        </is>
      </c>
      <c r="H4" s="1" t="inlineStr">
        <is>
          <t>Varna</t>
        </is>
      </c>
      <c r="I4" s="1" t="inlineStr">
        <is>
          <t>Purusharthas</t>
        </is>
      </c>
      <c r="J4" s="1" t="inlineStr">
        <is>
          <t>Trigunas</t>
        </is>
      </c>
      <c r="K4" s="1" t="inlineStr">
        <is>
          <t>Constitution</t>
        </is>
      </c>
      <c r="L4" s="1" t="inlineStr">
        <is>
          <t>Barren &amp; Fruitful signs</t>
        </is>
      </c>
      <c r="M4" s="1" t="inlineStr">
        <is>
          <t>Day / Night</t>
        </is>
      </c>
      <c r="N4" s="1" t="inlineStr">
        <is>
          <t>Rising Positions</t>
        </is>
      </c>
      <c r="O4" s="1" t="inlineStr">
        <is>
          <t>Legs</t>
        </is>
      </c>
      <c r="P4" s="1" t="inlineStr">
        <is>
          <t>Tridosha</t>
        </is>
      </c>
      <c r="Q4" s="1" t="inlineStr">
        <is>
          <t>Colours</t>
        </is>
      </c>
      <c r="R4" s="1" t="inlineStr">
        <is>
          <t>Places</t>
        </is>
      </c>
      <c r="S4" s="1" t="inlineStr">
        <is>
          <t>Jyothirlingas</t>
        </is>
      </c>
      <c r="T4" s="1" t="inlineStr">
        <is>
          <t>Kala Purusha Body Parts</t>
        </is>
      </c>
      <c r="U4" s="1" t="inlineStr">
        <is>
          <t>Mindset of the person</t>
        </is>
      </c>
    </row>
    <row r="5">
      <c r="A5" t="n">
        <v>1</v>
      </c>
      <c r="B5" t="inlineStr">
        <is>
          <t>Mesha</t>
        </is>
      </c>
      <c r="C5" t="inlineStr">
        <is>
          <t>Aries</t>
        </is>
      </c>
      <c r="D5" t="inlineStr">
        <is>
          <t>Odd</t>
        </is>
      </c>
      <c r="E5" t="inlineStr">
        <is>
          <t>Chara</t>
        </is>
      </c>
      <c r="F5" t="inlineStr">
        <is>
          <t>Agni</t>
        </is>
      </c>
      <c r="G5" t="inlineStr">
        <is>
          <t>East</t>
        </is>
      </c>
      <c r="H5" t="inlineStr">
        <is>
          <t>Kshatriya</t>
        </is>
      </c>
      <c r="I5" t="inlineStr">
        <is>
          <t>Dharma</t>
        </is>
      </c>
      <c r="J5" t="inlineStr">
        <is>
          <t>Rajasika</t>
        </is>
      </c>
      <c r="K5" t="inlineStr">
        <is>
          <t>Dhatu</t>
        </is>
      </c>
      <c r="L5" t="inlineStr">
        <is>
          <t>Barren</t>
        </is>
      </c>
      <c r="M5" t="inlineStr">
        <is>
          <t>Nocturnal</t>
        </is>
      </c>
      <c r="N5" t="inlineStr">
        <is>
          <t>Prushtodaya</t>
        </is>
      </c>
      <c r="O5" t="inlineStr">
        <is>
          <t>Chatuspada</t>
        </is>
      </c>
      <c r="P5" t="inlineStr">
        <is>
          <t>Pitha</t>
        </is>
      </c>
      <c r="Q5" t="inlineStr">
        <is>
          <t>Red</t>
        </is>
      </c>
      <c r="R5" t="inlineStr">
        <is>
          <t>Forest</t>
        </is>
      </c>
      <c r="S5" t="inlineStr">
        <is>
          <t>Rameshwaram</t>
        </is>
      </c>
      <c r="T5" t="inlineStr">
        <is>
          <t>Head</t>
        </is>
      </c>
      <c r="U5" t="inlineStr">
        <is>
          <t>Energetic, Active, Change, Aggressive, Initiative, Impulsive, Restless, Bold, Wants to Lead</t>
        </is>
      </c>
    </row>
    <row r="6">
      <c r="A6" t="n">
        <v>2</v>
      </c>
      <c r="B6" t="inlineStr">
        <is>
          <t>Vrishaba</t>
        </is>
      </c>
      <c r="C6" t="inlineStr">
        <is>
          <t>Taurus</t>
        </is>
      </c>
      <c r="D6" t="inlineStr">
        <is>
          <t>Even</t>
        </is>
      </c>
      <c r="E6" t="inlineStr">
        <is>
          <t>Sthira</t>
        </is>
      </c>
      <c r="F6" t="inlineStr">
        <is>
          <t>Prithvi</t>
        </is>
      </c>
      <c r="G6" t="inlineStr">
        <is>
          <t>South</t>
        </is>
      </c>
      <c r="H6" t="inlineStr">
        <is>
          <t>Vysya</t>
        </is>
      </c>
      <c r="I6" t="inlineStr">
        <is>
          <t>Artha</t>
        </is>
      </c>
      <c r="J6" t="inlineStr">
        <is>
          <t>Rajasika</t>
        </is>
      </c>
      <c r="K6" t="inlineStr">
        <is>
          <t>Moola</t>
        </is>
      </c>
      <c r="L6" t="inlineStr">
        <is>
          <t>Semi Fruitful</t>
        </is>
      </c>
      <c r="M6" t="inlineStr">
        <is>
          <t>Nocturnal</t>
        </is>
      </c>
      <c r="N6" t="inlineStr">
        <is>
          <t>Prushtodaya</t>
        </is>
      </c>
      <c r="O6" t="inlineStr">
        <is>
          <t>Chatuspada</t>
        </is>
      </c>
      <c r="P6" t="inlineStr">
        <is>
          <t>Vatha</t>
        </is>
      </c>
      <c r="Q6" t="inlineStr">
        <is>
          <t>White</t>
        </is>
      </c>
      <c r="R6" t="inlineStr">
        <is>
          <t>Agricultural land</t>
        </is>
      </c>
      <c r="S6" t="inlineStr">
        <is>
          <t>Somnatheshwara</t>
        </is>
      </c>
      <c r="T6" t="inlineStr">
        <is>
          <t>Face, Eye, Mouth</t>
        </is>
      </c>
      <c r="U6" t="inlineStr">
        <is>
          <t>Stability, Focused, Practical, Patience, Nourishment, Charming, Responsibility, Satisfied, Don’t like change, Stubborn</t>
        </is>
      </c>
    </row>
    <row r="7">
      <c r="A7" t="n">
        <v>3</v>
      </c>
      <c r="B7" t="inlineStr">
        <is>
          <t>Mithuna</t>
        </is>
      </c>
      <c r="C7" t="inlineStr">
        <is>
          <t>Gemini</t>
        </is>
      </c>
      <c r="D7" t="inlineStr">
        <is>
          <t>Odd</t>
        </is>
      </c>
      <c r="E7" t="inlineStr">
        <is>
          <t>Dwisabhava</t>
        </is>
      </c>
      <c r="F7" t="inlineStr">
        <is>
          <t>Vayu</t>
        </is>
      </c>
      <c r="G7" t="inlineStr">
        <is>
          <t>West</t>
        </is>
      </c>
      <c r="H7" t="inlineStr">
        <is>
          <t>Shudra</t>
        </is>
      </c>
      <c r="I7" t="inlineStr">
        <is>
          <t>Kama</t>
        </is>
      </c>
      <c r="J7" t="inlineStr">
        <is>
          <t>Rajasika</t>
        </is>
      </c>
      <c r="K7" t="inlineStr">
        <is>
          <t>Jeeva</t>
        </is>
      </c>
      <c r="L7" t="inlineStr">
        <is>
          <t>Barren</t>
        </is>
      </c>
      <c r="M7" t="inlineStr">
        <is>
          <t>Nocturnal</t>
        </is>
      </c>
      <c r="N7" t="inlineStr">
        <is>
          <t>Shirsodaya</t>
        </is>
      </c>
      <c r="O7" t="inlineStr">
        <is>
          <t>Dwipada</t>
        </is>
      </c>
      <c r="P7" t="inlineStr">
        <is>
          <t>Tridosha</t>
        </is>
      </c>
      <c r="Q7" t="inlineStr">
        <is>
          <t>Green</t>
        </is>
      </c>
      <c r="R7" t="inlineStr">
        <is>
          <t>Bedroom</t>
        </is>
      </c>
      <c r="S7" t="inlineStr">
        <is>
          <t>Nageshwara</t>
        </is>
      </c>
      <c r="T7" t="inlineStr">
        <is>
          <t>Neck, Arms</t>
        </is>
      </c>
      <c r="U7" t="inlineStr">
        <is>
          <t>Good communication, Intelligent, Artistic, Confused, Humorous, Multitasking, Creative, Adaptable, Fickle minded, Writers,  indicates the neck of the Kala purusha , neck enables the head to turn and see in different directions so that is the reason mithuna ppl are always searching for different options</t>
        </is>
      </c>
    </row>
    <row r="8">
      <c r="A8" t="n">
        <v>4</v>
      </c>
      <c r="B8" t="inlineStr">
        <is>
          <t>Karkataka</t>
        </is>
      </c>
      <c r="C8" t="inlineStr">
        <is>
          <t>Cancer</t>
        </is>
      </c>
      <c r="D8" t="inlineStr">
        <is>
          <t>Even</t>
        </is>
      </c>
      <c r="E8" t="inlineStr">
        <is>
          <t>Chara</t>
        </is>
      </c>
      <c r="F8" t="inlineStr">
        <is>
          <t>Jala</t>
        </is>
      </c>
      <c r="G8" t="inlineStr">
        <is>
          <t>North</t>
        </is>
      </c>
      <c r="H8" t="inlineStr">
        <is>
          <t>Brahmin</t>
        </is>
      </c>
      <c r="I8" t="inlineStr">
        <is>
          <t>Moksha</t>
        </is>
      </c>
      <c r="J8" t="inlineStr">
        <is>
          <t>Sathvik</t>
        </is>
      </c>
      <c r="K8" t="inlineStr">
        <is>
          <t>Dhatu</t>
        </is>
      </c>
      <c r="L8" t="inlineStr">
        <is>
          <t>Fruitful</t>
        </is>
      </c>
      <c r="M8" t="inlineStr">
        <is>
          <t>Nocturnal</t>
        </is>
      </c>
      <c r="N8" t="inlineStr">
        <is>
          <t>Prushtodaya</t>
        </is>
      </c>
      <c r="O8" t="inlineStr">
        <is>
          <t>Jalachara</t>
        </is>
      </c>
      <c r="P8" t="inlineStr">
        <is>
          <t>Kapha</t>
        </is>
      </c>
      <c r="Q8" t="inlineStr">
        <is>
          <t>Pink</t>
        </is>
      </c>
      <c r="R8" t="inlineStr">
        <is>
          <t>River</t>
        </is>
      </c>
      <c r="S8" t="inlineStr">
        <is>
          <t>Omkareshwara</t>
        </is>
      </c>
      <c r="T8" t="inlineStr">
        <is>
          <t>Heart, Lungs</t>
        </is>
      </c>
      <c r="U8" t="inlineStr">
        <is>
          <t>Emotional, Sensitive, Honest, Mood swings, Motherly nature, Peace loving, Warmth, Nurturing, Soft nature, Psychic</t>
        </is>
      </c>
    </row>
    <row r="9">
      <c r="A9" t="n">
        <v>5</v>
      </c>
      <c r="B9" t="inlineStr">
        <is>
          <t>Simha</t>
        </is>
      </c>
      <c r="C9" t="inlineStr">
        <is>
          <t>Leo</t>
        </is>
      </c>
      <c r="D9" t="inlineStr">
        <is>
          <t>Odd</t>
        </is>
      </c>
      <c r="E9" t="inlineStr">
        <is>
          <t>Sthira</t>
        </is>
      </c>
      <c r="F9" t="inlineStr">
        <is>
          <t>Agni</t>
        </is>
      </c>
      <c r="G9" t="inlineStr">
        <is>
          <t>East</t>
        </is>
      </c>
      <c r="H9" t="inlineStr">
        <is>
          <t>Kshatriya</t>
        </is>
      </c>
      <c r="I9" t="inlineStr">
        <is>
          <t>Dharma</t>
        </is>
      </c>
      <c r="J9" t="inlineStr">
        <is>
          <t>Sathvik</t>
        </is>
      </c>
      <c r="K9" t="inlineStr">
        <is>
          <t>Moola</t>
        </is>
      </c>
      <c r="L9" t="inlineStr">
        <is>
          <t>Barren</t>
        </is>
      </c>
      <c r="M9" t="inlineStr">
        <is>
          <t>Diurnal</t>
        </is>
      </c>
      <c r="N9" t="inlineStr">
        <is>
          <t>Shirsodaya</t>
        </is>
      </c>
      <c r="O9" t="inlineStr">
        <is>
          <t>Vanachara</t>
        </is>
      </c>
      <c r="P9" t="inlineStr">
        <is>
          <t>Pitha</t>
        </is>
      </c>
      <c r="Q9" t="inlineStr">
        <is>
          <t>Off white</t>
        </is>
      </c>
      <c r="R9" t="inlineStr">
        <is>
          <t>Mountain</t>
        </is>
      </c>
      <c r="S9" t="inlineStr">
        <is>
          <t>Vaidyanath</t>
        </is>
      </c>
      <c r="T9" t="inlineStr">
        <is>
          <t>Stomach, Womb</t>
        </is>
      </c>
      <c r="U9" t="inlineStr">
        <is>
          <t>Energetic, Aggressive, Egoistic, Good in administration, Generous, Dominating, Competitve, Leaders, Helping nature, Self respect.</t>
        </is>
      </c>
    </row>
    <row r="10">
      <c r="A10" t="n">
        <v>6</v>
      </c>
      <c r="B10" t="inlineStr">
        <is>
          <t>Kanya</t>
        </is>
      </c>
      <c r="C10" t="inlineStr">
        <is>
          <t>Virgo</t>
        </is>
      </c>
      <c r="D10" t="inlineStr">
        <is>
          <t>Even</t>
        </is>
      </c>
      <c r="E10" t="inlineStr">
        <is>
          <t>Dwisabhava</t>
        </is>
      </c>
      <c r="F10" t="inlineStr">
        <is>
          <t>Prithvi</t>
        </is>
      </c>
      <c r="G10" t="inlineStr">
        <is>
          <t>South</t>
        </is>
      </c>
      <c r="H10" t="inlineStr">
        <is>
          <t>Vysya</t>
        </is>
      </c>
      <c r="I10" t="inlineStr">
        <is>
          <t>Artha</t>
        </is>
      </c>
      <c r="J10" t="inlineStr">
        <is>
          <t>Tamasika</t>
        </is>
      </c>
      <c r="K10" t="inlineStr">
        <is>
          <t>Jeeva</t>
        </is>
      </c>
      <c r="L10" t="inlineStr">
        <is>
          <t>Barren</t>
        </is>
      </c>
      <c r="M10" t="inlineStr">
        <is>
          <t>Diurnal</t>
        </is>
      </c>
      <c r="N10" t="inlineStr">
        <is>
          <t>Shirsodaya</t>
        </is>
      </c>
      <c r="O10" t="inlineStr">
        <is>
          <t>Dwipada</t>
        </is>
      </c>
      <c r="P10" t="inlineStr">
        <is>
          <t>Vatha</t>
        </is>
      </c>
      <c r="Q10" t="inlineStr">
        <is>
          <t>Variegeted</t>
        </is>
      </c>
      <c r="R10" t="inlineStr">
        <is>
          <t>Gardens</t>
        </is>
      </c>
      <c r="S10" t="inlineStr">
        <is>
          <t>Mallikarjuna</t>
        </is>
      </c>
      <c r="T10" t="inlineStr">
        <is>
          <t>Hip, Intestine</t>
        </is>
      </c>
      <c r="U10" t="inlineStr">
        <is>
          <t>Practical, Critical, Perfectionist, Cleanliness, Observant, Intelligent, Feminine Looks, Reserved, Calculated risk, Organised. Highly logical and analytical.</t>
        </is>
      </c>
    </row>
    <row r="11">
      <c r="A11" t="n">
        <v>7</v>
      </c>
      <c r="B11" t="inlineStr">
        <is>
          <t>Tula</t>
        </is>
      </c>
      <c r="C11" t="inlineStr">
        <is>
          <t>Libra</t>
        </is>
      </c>
      <c r="D11" t="inlineStr">
        <is>
          <t>Odd</t>
        </is>
      </c>
      <c r="E11" t="inlineStr">
        <is>
          <t>Chara</t>
        </is>
      </c>
      <c r="F11" t="inlineStr">
        <is>
          <t>Vayu</t>
        </is>
      </c>
      <c r="G11" t="inlineStr">
        <is>
          <t>West</t>
        </is>
      </c>
      <c r="H11" t="inlineStr">
        <is>
          <t>Shudra</t>
        </is>
      </c>
      <c r="I11" t="inlineStr">
        <is>
          <t>Kama</t>
        </is>
      </c>
      <c r="J11" t="inlineStr">
        <is>
          <t>Rajasika</t>
        </is>
      </c>
      <c r="K11" t="inlineStr">
        <is>
          <t>Dhatu</t>
        </is>
      </c>
      <c r="L11" t="inlineStr">
        <is>
          <t>Semi Fruitful</t>
        </is>
      </c>
      <c r="M11" t="inlineStr">
        <is>
          <t>Diurnal</t>
        </is>
      </c>
      <c r="N11" t="inlineStr">
        <is>
          <t>Shirsodaya</t>
        </is>
      </c>
      <c r="O11" t="inlineStr">
        <is>
          <t>Dwipada</t>
        </is>
      </c>
      <c r="P11" t="inlineStr">
        <is>
          <t>Vatha</t>
        </is>
      </c>
      <c r="Q11" t="inlineStr">
        <is>
          <t>Black</t>
        </is>
      </c>
      <c r="R11" t="inlineStr">
        <is>
          <t>Business Place</t>
        </is>
      </c>
      <c r="S11" t="inlineStr">
        <is>
          <t>Mahakaleshwar</t>
        </is>
      </c>
      <c r="T11" t="inlineStr">
        <is>
          <t>Kidneys</t>
        </is>
      </c>
      <c r="U11" t="inlineStr">
        <is>
          <t>Attractive, Extroverts, Well Mannered, Peace makers, Diplomatic, Good negotiators, Charming, Foresight and planning, good advice givers, business minded</t>
        </is>
      </c>
    </row>
    <row r="12">
      <c r="A12" t="n">
        <v>8</v>
      </c>
      <c r="B12" t="inlineStr">
        <is>
          <t>Vrischika</t>
        </is>
      </c>
      <c r="C12" t="inlineStr">
        <is>
          <t>Scorpio</t>
        </is>
      </c>
      <c r="D12" t="inlineStr">
        <is>
          <t>Even</t>
        </is>
      </c>
      <c r="E12" t="inlineStr">
        <is>
          <t>Sthira</t>
        </is>
      </c>
      <c r="F12" t="inlineStr">
        <is>
          <t>Jala</t>
        </is>
      </c>
      <c r="G12" t="inlineStr">
        <is>
          <t>North</t>
        </is>
      </c>
      <c r="H12" t="inlineStr">
        <is>
          <t>Brahmin</t>
        </is>
      </c>
      <c r="I12" t="inlineStr">
        <is>
          <t>Moksha</t>
        </is>
      </c>
      <c r="J12" t="inlineStr">
        <is>
          <t>Rajasika</t>
        </is>
      </c>
      <c r="K12" t="inlineStr">
        <is>
          <t>Moola</t>
        </is>
      </c>
      <c r="L12" t="inlineStr">
        <is>
          <t>Fruitful</t>
        </is>
      </c>
      <c r="M12" t="inlineStr">
        <is>
          <t>Diurnal</t>
        </is>
      </c>
      <c r="N12" t="inlineStr">
        <is>
          <t>Shirsodaya</t>
        </is>
      </c>
      <c r="O12" t="inlineStr">
        <is>
          <t>Keeta</t>
        </is>
      </c>
      <c r="P12" t="inlineStr">
        <is>
          <t>Kapha</t>
        </is>
      </c>
      <c r="Q12" t="inlineStr">
        <is>
          <t>Saffron</t>
        </is>
      </c>
      <c r="R12" t="inlineStr">
        <is>
          <t>Hole / Cavity</t>
        </is>
      </c>
      <c r="S12" t="inlineStr">
        <is>
          <t>Grishneshwar</t>
        </is>
      </c>
      <c r="T12" t="inlineStr">
        <is>
          <t>Private Parts</t>
        </is>
      </c>
      <c r="U12" t="inlineStr">
        <is>
          <t>Secretive, Pessimistic, Possessive, Good researchers, Revenge, Penetrating Gaze, Mood swings, Good imagination, Fears and Phobias, Anxiety</t>
        </is>
      </c>
    </row>
    <row r="13">
      <c r="A13" t="n">
        <v>9</v>
      </c>
      <c r="B13" t="inlineStr">
        <is>
          <t>Dhanur</t>
        </is>
      </c>
      <c r="C13" t="inlineStr">
        <is>
          <t>Sagittarius</t>
        </is>
      </c>
      <c r="D13" t="inlineStr">
        <is>
          <t>Odd</t>
        </is>
      </c>
      <c r="E13" t="inlineStr">
        <is>
          <t>Dwisabhava</t>
        </is>
      </c>
      <c r="F13" t="inlineStr">
        <is>
          <t>Agni</t>
        </is>
      </c>
      <c r="G13" t="inlineStr">
        <is>
          <t>East</t>
        </is>
      </c>
      <c r="H13" t="inlineStr">
        <is>
          <t>Kshatriya</t>
        </is>
      </c>
      <c r="I13" t="inlineStr">
        <is>
          <t>Dharma</t>
        </is>
      </c>
      <c r="J13" t="inlineStr">
        <is>
          <t>Sathvik</t>
        </is>
      </c>
      <c r="K13" t="inlineStr">
        <is>
          <t>Jeeva</t>
        </is>
      </c>
      <c r="L13" t="inlineStr">
        <is>
          <t>Semi Fruitful</t>
        </is>
      </c>
      <c r="M13" t="inlineStr">
        <is>
          <t>Nocturnal</t>
        </is>
      </c>
      <c r="N13" t="inlineStr">
        <is>
          <t>Prushtodaya</t>
        </is>
      </c>
      <c r="O13" t="inlineStr">
        <is>
          <t>Dwipada 1st half / Chatuspada 2nd half</t>
        </is>
      </c>
      <c r="P13" t="inlineStr">
        <is>
          <t>Pitha</t>
        </is>
      </c>
      <c r="Q13" t="inlineStr">
        <is>
          <t>Golden</t>
        </is>
      </c>
      <c r="R13" t="inlineStr">
        <is>
          <t>Palace</t>
        </is>
      </c>
      <c r="S13" t="inlineStr">
        <is>
          <t>Kashi Vishwanath</t>
        </is>
      </c>
      <c r="T13" t="inlineStr">
        <is>
          <t>Thighs</t>
        </is>
      </c>
      <c r="U13" t="inlineStr">
        <is>
          <t>Fun Loving, Adventurous, Very Optimistic, Confident, Attractive, Traditional, Good nature, Idealistic, Active, Competitive</t>
        </is>
      </c>
    </row>
    <row r="14">
      <c r="A14" t="n">
        <v>10</v>
      </c>
      <c r="B14" t="inlineStr">
        <is>
          <t>Makara</t>
        </is>
      </c>
      <c r="C14" t="inlineStr">
        <is>
          <t>Capricorn</t>
        </is>
      </c>
      <c r="D14" t="inlineStr">
        <is>
          <t>Even</t>
        </is>
      </c>
      <c r="E14" t="inlineStr">
        <is>
          <t>Chara</t>
        </is>
      </c>
      <c r="F14" t="inlineStr">
        <is>
          <t>Prithvi</t>
        </is>
      </c>
      <c r="G14" t="inlineStr">
        <is>
          <t>South</t>
        </is>
      </c>
      <c r="H14" t="inlineStr">
        <is>
          <t>Vysya</t>
        </is>
      </c>
      <c r="I14" t="inlineStr">
        <is>
          <t>Artha</t>
        </is>
      </c>
      <c r="J14" t="inlineStr">
        <is>
          <t>Tamasika</t>
        </is>
      </c>
      <c r="K14" t="inlineStr">
        <is>
          <t>Dhatu</t>
        </is>
      </c>
      <c r="L14" t="inlineStr">
        <is>
          <t>Semi Fruitful</t>
        </is>
      </c>
      <c r="M14" t="inlineStr">
        <is>
          <t>Nocturnal</t>
        </is>
      </c>
      <c r="N14" t="inlineStr">
        <is>
          <t>Prushtodaya</t>
        </is>
      </c>
      <c r="O14" t="inlineStr">
        <is>
          <t>Chatuspada 1st half / Jalachara 2nd half</t>
        </is>
      </c>
      <c r="P14" t="inlineStr">
        <is>
          <t>Vatha</t>
        </is>
      </c>
      <c r="Q14" t="inlineStr">
        <is>
          <t>Various colours</t>
        </is>
      </c>
      <c r="R14" t="inlineStr">
        <is>
          <t>Watery Forest / Marshlands</t>
        </is>
      </c>
      <c r="S14" t="inlineStr">
        <is>
          <t>Bhima Shankara</t>
        </is>
      </c>
      <c r="T14" t="inlineStr">
        <is>
          <t>Knees</t>
        </is>
      </c>
      <c r="U14" t="inlineStr">
        <is>
          <t>Hard Workers, Straight Forward talkers, Methodical, Systematical, Ambitious, Practical, Rational, Perfectionist, Calculative, Stress</t>
        </is>
      </c>
    </row>
    <row r="15">
      <c r="A15" t="n">
        <v>11</v>
      </c>
      <c r="B15" t="inlineStr">
        <is>
          <t>Kumbha</t>
        </is>
      </c>
      <c r="C15" t="inlineStr">
        <is>
          <t>Aquarius</t>
        </is>
      </c>
      <c r="D15" t="inlineStr">
        <is>
          <t>Odd</t>
        </is>
      </c>
      <c r="E15" t="inlineStr">
        <is>
          <t>Sthira</t>
        </is>
      </c>
      <c r="F15" t="inlineStr">
        <is>
          <t>Vayu</t>
        </is>
      </c>
      <c r="G15" t="inlineStr">
        <is>
          <t>West</t>
        </is>
      </c>
      <c r="H15" t="inlineStr">
        <is>
          <t>Shudra</t>
        </is>
      </c>
      <c r="I15" t="inlineStr">
        <is>
          <t>Kama</t>
        </is>
      </c>
      <c r="J15" t="inlineStr">
        <is>
          <t>Tamasika</t>
        </is>
      </c>
      <c r="K15" t="inlineStr">
        <is>
          <t>Moola</t>
        </is>
      </c>
      <c r="L15" t="inlineStr">
        <is>
          <t>Semi Fruitful</t>
        </is>
      </c>
      <c r="M15" t="inlineStr">
        <is>
          <t>Diurnal</t>
        </is>
      </c>
      <c r="N15" t="inlineStr">
        <is>
          <t>Shirsodaya</t>
        </is>
      </c>
      <c r="O15" t="inlineStr">
        <is>
          <t>Dwipada</t>
        </is>
      </c>
      <c r="P15" t="inlineStr">
        <is>
          <t>Vatha</t>
        </is>
      </c>
      <c r="Q15" t="inlineStr">
        <is>
          <t>Dark Brown</t>
        </is>
      </c>
      <c r="R15" t="inlineStr">
        <is>
          <t>Potters Place</t>
        </is>
      </c>
      <c r="S15" t="inlineStr">
        <is>
          <t>Kedarnath</t>
        </is>
      </c>
      <c r="T15" t="inlineStr">
        <is>
          <t>Ankles, Legs</t>
        </is>
      </c>
      <c r="U15" t="inlineStr">
        <is>
          <t>Sharp and quick, Emotional detachment, Stubborn, Mature, Creative, Friendly, Scientific, Philosophical, Original thinking, Rebel</t>
        </is>
      </c>
    </row>
    <row r="16">
      <c r="A16" t="n">
        <v>12</v>
      </c>
      <c r="B16" t="inlineStr">
        <is>
          <t>Meena</t>
        </is>
      </c>
      <c r="C16" t="inlineStr">
        <is>
          <t>Pisces</t>
        </is>
      </c>
      <c r="D16" t="inlineStr">
        <is>
          <t>Even</t>
        </is>
      </c>
      <c r="E16" t="inlineStr">
        <is>
          <t>Dwisabhava</t>
        </is>
      </c>
      <c r="F16" t="inlineStr">
        <is>
          <t>Jala</t>
        </is>
      </c>
      <c r="G16" t="inlineStr">
        <is>
          <t>North</t>
        </is>
      </c>
      <c r="H16" t="inlineStr">
        <is>
          <t>Brahmin</t>
        </is>
      </c>
      <c r="I16" t="inlineStr">
        <is>
          <t>Moksha</t>
        </is>
      </c>
      <c r="J16" t="inlineStr">
        <is>
          <t>Sathvik</t>
        </is>
      </c>
      <c r="K16" t="inlineStr">
        <is>
          <t>Jeeva</t>
        </is>
      </c>
      <c r="L16" t="inlineStr">
        <is>
          <t>Fruitful</t>
        </is>
      </c>
      <c r="M16" t="inlineStr">
        <is>
          <t>Diurnal</t>
        </is>
      </c>
      <c r="N16" t="inlineStr">
        <is>
          <t>Ubhadaya</t>
        </is>
      </c>
      <c r="O16" t="inlineStr">
        <is>
          <t>Jalachara</t>
        </is>
      </c>
      <c r="P16" t="inlineStr">
        <is>
          <t>Kapha</t>
        </is>
      </c>
      <c r="Q16" t="inlineStr">
        <is>
          <t>White</t>
        </is>
      </c>
      <c r="R16" t="inlineStr">
        <is>
          <t>Ocean</t>
        </is>
      </c>
      <c r="S16" t="inlineStr">
        <is>
          <t>Tryambakeshwar</t>
        </is>
      </c>
      <c r="T16" t="inlineStr">
        <is>
          <t>Feet</t>
        </is>
      </c>
      <c r="U16" t="inlineStr">
        <is>
          <t>Very Moody, Loyal, Loving, Hopeful, Spiritual, Influenced easily, big change, very emotional, beautiful, highly satvik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B130"/>
  <sheetViews>
    <sheetView topLeftCell="A7" workbookViewId="0">
      <selection activeCell="B115" sqref="B115"/>
    </sheetView>
  </sheetViews>
  <sheetFormatPr baseColWidth="8" defaultRowHeight="15"/>
  <cols>
    <col width="123.7109375" customWidth="1" min="2" max="2"/>
    <col width="119.28515625" customWidth="1" min="3" max="3"/>
  </cols>
  <sheetData>
    <row r="3">
      <c r="B3" s="1" t="inlineStr">
        <is>
          <t>Abni/Vayu/Prithvi/Jala</t>
        </is>
      </c>
    </row>
    <row r="5">
      <c r="B5" t="inlineStr">
        <is>
          <t>1 ) Used for giving Pariharas like Homa or lighting of lamps for Agni tatwa rashis. Abhisheka , Teerthasthana for Jala Tatwa rashis</t>
        </is>
      </c>
    </row>
    <row r="6">
      <c r="B6" t="inlineStr">
        <is>
          <t>Chanting of Mantras for Vayu tatwa rashis</t>
        </is>
      </c>
    </row>
    <row r="7">
      <c r="B7" t="inlineStr">
        <is>
          <t>Charity for Prithwi tatwa rashis</t>
        </is>
      </c>
    </row>
    <row r="8">
      <c r="B8" t="inlineStr">
        <is>
          <t>2 ) To check for natural calamities like earthquake , tsunami , fire accidents in Mundane Astology</t>
        </is>
      </c>
    </row>
    <row r="10">
      <c r="B10" t="inlineStr">
        <is>
          <t>AGNI ( Firy ) TATWA Guna :Energetic , hot , active , Strong will , Assertive , independent , likes popularity , sometimes dominating , likes to be in position</t>
        </is>
      </c>
    </row>
    <row r="11">
      <c r="B11" t="inlineStr">
        <is>
          <t>Vayu ( Airy ) Tatwa Guna : Creative , Intellectual . Logical , good planners , balanced , nervous</t>
        </is>
      </c>
    </row>
    <row r="12">
      <c r="B12" t="inlineStr">
        <is>
          <t>Prithvi ( Earthy )Tatwa Guna : Perseverence , stability , Hard work, Materialistic , Practical ,self centered, stubborn</t>
        </is>
      </c>
    </row>
    <row r="13">
      <c r="B13" t="inlineStr">
        <is>
          <t>Jala ( Watery ) Tatwa Guna :Emotional , devotional , Compassionate , Receptive , intutive , psychic, suspicious</t>
        </is>
      </c>
    </row>
    <row r="15">
      <c r="B15" t="inlineStr">
        <is>
          <t>Chara Rashis or Moveable Signs ( Mesha , Karkataka , Tula , Vrischika ) Flexible , adoptable , dynamic, achievers ,</t>
        </is>
      </c>
    </row>
    <row r="16">
      <c r="B16" t="inlineStr">
        <is>
          <t>Sthira Rashis or Fixed Signs (Vrishabha , Simha , Vrischika , Kumbha ) Rigid , firm on their decisions, stubborn ,determined, permanent ,impractical</t>
        </is>
      </c>
    </row>
    <row r="17">
      <c r="B17" t="inlineStr">
        <is>
          <t>Dwiswabhava Rashis or Dual Signs ( all corner signs ) flexible or rigid depending on situation , indecisiveness , too cautious ,calculative , worries about what others woild think</t>
        </is>
      </c>
    </row>
    <row r="19">
      <c r="B19" t="inlineStr">
        <is>
          <t>If more planets are in Chara Rashis in a horoscope , then the person would be travelling always , in Sthira rashis , will like to stay at one place</t>
        </is>
      </c>
    </row>
    <row r="21">
      <c r="B21" t="inlineStr">
        <is>
          <t>Used in Match Making called Varna Koota, Male should be of a higher varna than that of Female. If both belong to the same varna it is very good.</t>
        </is>
      </c>
    </row>
    <row r="22">
      <c r="B22" t="inlineStr">
        <is>
          <t>Dharma Triangle (Mesha, Simha, Dhanur) shows a persons tendency towards religion and righteous deeds</t>
        </is>
      </c>
    </row>
    <row r="23">
      <c r="B23" t="inlineStr">
        <is>
          <t>Artha Triangle (Vrishabha, Kanya, Makara) indicates a person tendency towards earning and accumulating wealth</t>
        </is>
      </c>
    </row>
    <row r="24">
      <c r="B24" t="inlineStr">
        <is>
          <t>Kama Triangle (Mithuna, Tula, Kumbha) shows how successful a person will be in achieving his desires.</t>
        </is>
      </c>
    </row>
    <row r="25">
      <c r="B25" t="inlineStr">
        <is>
          <t xml:space="preserve">Moksha Triangle (karkataka, Vrischika, Meena) shows to what extent a person can achieve liberation. </t>
        </is>
      </c>
    </row>
    <row r="28">
      <c r="B28" t="inlineStr">
        <is>
          <t>Sathvik Guna : Religious, happy, work without expecting anything in return, sacrifice, healthy</t>
        </is>
      </c>
    </row>
    <row r="29">
      <c r="B29" t="inlineStr">
        <is>
          <t>Rajasika Guna : Materialistic, desires, lust, proud</t>
        </is>
      </c>
    </row>
    <row r="30">
      <c r="B30" t="inlineStr">
        <is>
          <t>Tamasika Guna : Carelessness, Laziness, Anger, Dull headed</t>
        </is>
      </c>
    </row>
    <row r="33">
      <c r="B33" t="inlineStr">
        <is>
          <t>Dhatu : means non living objects like metals, mineral objects</t>
        </is>
      </c>
    </row>
    <row r="34">
      <c r="B34" t="inlineStr">
        <is>
          <t>Moola : means living objects which have life but no movement like trees</t>
        </is>
      </c>
    </row>
    <row r="35">
      <c r="B35" t="inlineStr">
        <is>
          <t>Jeeva : means living beings like Human beings and animals</t>
        </is>
      </c>
    </row>
    <row r="36">
      <c r="B36" t="inlineStr">
        <is>
          <t>This classification is mainly used for remedial purposes and also in Prashna for identification of query</t>
        </is>
      </c>
    </row>
    <row r="39">
      <c r="B39" t="inlineStr">
        <is>
          <t>This Classification is used to find out of gender of siblings , children, etc.</t>
        </is>
      </c>
    </row>
    <row r="40">
      <c r="B40" t="inlineStr">
        <is>
          <t>Odd Rashis or Male Rashis : masculine , energetic ,aggressive</t>
        </is>
      </c>
    </row>
    <row r="41">
      <c r="B41" t="inlineStr">
        <is>
          <t>Even Rashis or Female Rashis : Feminine , submissive, passive</t>
        </is>
      </c>
    </row>
    <row r="43">
      <c r="B43" t="inlineStr">
        <is>
          <t>Mesha agni is a Forest fire. It is a wild fire which spreads rapidly.</t>
        </is>
      </c>
    </row>
    <row r="44">
      <c r="B44" t="inlineStr">
        <is>
          <t>Simha Agni is a kitchen fire used for cooking of food and thus used for a productive purpose</t>
        </is>
      </c>
    </row>
    <row r="45">
      <c r="B45" t="inlineStr">
        <is>
          <t>Dhanur Agni is fire of Homa ,havan , lamps , etc for spiritual awakening</t>
        </is>
      </c>
    </row>
    <row r="48">
      <c r="B48" t="inlineStr">
        <is>
          <t>Karkataka Jala is pure water like Ganga river water . It nourishes the Jeeva.</t>
        </is>
      </c>
    </row>
    <row r="49">
      <c r="B49" t="inlineStr">
        <is>
          <t>Vrischika Jala is polluted water or deep waters</t>
        </is>
      </c>
    </row>
    <row r="50">
      <c r="B50" t="inlineStr">
        <is>
          <t>Meena Jala is Ocean water</t>
        </is>
      </c>
    </row>
    <row r="52">
      <c r="B52" t="inlineStr">
        <is>
          <t xml:space="preserve">Vrishabha Rashi indicates agricultural land where bull ( symbol of rashi ) is used for tilling the land </t>
        </is>
      </c>
    </row>
    <row r="53">
      <c r="B53" t="inlineStr">
        <is>
          <t>Kanya Rashi indicates garden where flowers are grown. Kanya rashi symbol is young lady who loves flowers</t>
        </is>
      </c>
    </row>
    <row r="54">
      <c r="B54" t="inlineStr">
        <is>
          <t>Makara Rashi is a marshy land and its symbol is Crocodile</t>
        </is>
      </c>
    </row>
    <row r="56">
      <c r="B56" t="inlineStr">
        <is>
          <t>Vayu means air , and air has no boundaries ( expansion ) therefore Vayu tatwa rashis indicate Intelligence</t>
        </is>
      </c>
    </row>
    <row r="57">
      <c r="B57" t="inlineStr">
        <is>
          <t>Mithuna Rashi is a Vayu tatwa rashi . In Mithuna rashi intelligence is used in communication . To impress the opposite gender ( symbol is a Male and Female ).</t>
        </is>
      </c>
    </row>
    <row r="58">
      <c r="B58" t="inlineStr">
        <is>
          <t>Tula Rashi is a Vayu tatwa rashi , here intelligence is used in business ( symbol is Balance )</t>
        </is>
      </c>
    </row>
    <row r="59">
      <c r="B59" t="inlineStr">
        <is>
          <t>Kumbha Rashi is also a Vayu tatwa rashi. Here intelligence is used in creativity</t>
        </is>
      </c>
    </row>
    <row r="61">
      <c r="B61" t="inlineStr">
        <is>
          <t>Example of analysing Vrishabha Rashi</t>
        </is>
      </c>
    </row>
    <row r="62">
      <c r="B62" t="inlineStr">
        <is>
          <t>Vrishabha = Sthira + Prithvi tatwa</t>
        </is>
      </c>
    </row>
    <row r="63">
      <c r="B63" t="inlineStr">
        <is>
          <t>Vrishabha Rashi is both a Sthira Rashi and Prithvi tatwa Rashi. So the common qualities of Sthira Rashi and Prithvi tatwa rashi will be predominant in Vrishabha like being stubborn , hard working , practical.</t>
        </is>
      </c>
    </row>
    <row r="64">
      <c r="B64" t="inlineStr">
        <is>
          <t>Among all the 4 Sthira Rashis , Vrishabha is the strongest Sthira.</t>
        </is>
      </c>
    </row>
    <row r="69">
      <c r="B69" s="1" t="inlineStr">
        <is>
          <t>Barren &amp; Fruitful signs - To know about marriage and children</t>
        </is>
      </c>
    </row>
    <row r="70">
      <c r="B70" t="inlineStr">
        <is>
          <t>Jala Tatwa Rashis are fertile and fruitful</t>
        </is>
      </c>
    </row>
    <row r="72">
      <c r="B72" t="inlineStr">
        <is>
          <t>Day / Night</t>
        </is>
      </c>
    </row>
    <row r="73">
      <c r="B73" t="inlineStr">
        <is>
          <t>Signs powerful during Night are called Nocturnal</t>
        </is>
      </c>
    </row>
    <row r="74">
      <c r="B74" t="inlineStr">
        <is>
          <t>Signs powerful during Day are called Diurnal</t>
        </is>
      </c>
    </row>
    <row r="76">
      <c r="B76" s="1" t="inlineStr">
        <is>
          <t>Rising Positions</t>
        </is>
      </c>
    </row>
    <row r="77">
      <c r="B77" t="inlineStr">
        <is>
          <t>This classification is used to know the success of a Prashna</t>
        </is>
      </c>
    </row>
    <row r="79">
      <c r="B79" s="1" t="inlineStr">
        <is>
          <t>Legs</t>
        </is>
      </c>
    </row>
    <row r="80">
      <c r="B80" t="inlineStr">
        <is>
          <t>0 to 15 deg of any Rashi is first half and 15 to 30 deg is second half</t>
        </is>
      </c>
    </row>
    <row r="81">
      <c r="B81" t="inlineStr">
        <is>
          <t>Vanachara is high in heirarchy, then comes Dwipada</t>
        </is>
      </c>
    </row>
    <row r="82">
      <c r="B82" t="inlineStr">
        <is>
          <t>After dwipada comes, ( jalachara, keeta, chatuspada ) all these 3 are equal</t>
        </is>
      </c>
    </row>
    <row r="84">
      <c r="B84" t="inlineStr">
        <is>
          <t>Tridosha</t>
        </is>
      </c>
    </row>
    <row r="85">
      <c r="B85" t="inlineStr">
        <is>
          <t>Used in Medical astrology for knowing the body constitution of a person and the diseases caused by imbalance in Vatta or Pitta or Kapha elements</t>
        </is>
      </c>
    </row>
    <row r="86">
      <c r="B86" t="inlineStr">
        <is>
          <t>Vatha = Airy/Windy</t>
        </is>
      </c>
    </row>
    <row r="87">
      <c r="B87" t="inlineStr">
        <is>
          <t>Pitha - Bilious</t>
        </is>
      </c>
    </row>
    <row r="88">
      <c r="B88" t="inlineStr">
        <is>
          <t>Kapha - Phlegmatic</t>
        </is>
      </c>
    </row>
    <row r="90">
      <c r="B90" s="1" t="inlineStr">
        <is>
          <t>Colours</t>
        </is>
      </c>
    </row>
    <row r="91">
      <c r="B91" t="inlineStr">
        <is>
          <t>This classification indicates the lucky colours of each Rashi</t>
        </is>
      </c>
    </row>
    <row r="93">
      <c r="B93" s="1" t="inlineStr">
        <is>
          <t>Places</t>
        </is>
      </c>
    </row>
    <row r="94">
      <c r="B94" t="inlineStr">
        <is>
          <t xml:space="preserve">Places indicated by each Rashi - This classification is used in prashna and also to know where each rashi person will be comfortable. </t>
        </is>
      </c>
    </row>
    <row r="96">
      <c r="B96" s="1" t="inlineStr">
        <is>
          <t>Jyothirlingas</t>
        </is>
      </c>
    </row>
    <row r="97">
      <c r="B97" t="inlineStr">
        <is>
          <t>12 Jyotirlingas and their Locations</t>
        </is>
      </c>
    </row>
    <row r="98">
      <c r="B98" t="inlineStr">
        <is>
          <t>1. Somnath Prabhasapattan, near Veraval, Saurashtra, Gujarat</t>
        </is>
      </c>
    </row>
    <row r="99">
      <c r="B99" t="inlineStr">
        <is>
          <t>2. Mallikarjun Shrishailya, Andhra Pradesh</t>
        </is>
      </c>
    </row>
    <row r="100">
      <c r="B100" t="inlineStr">
        <is>
          <t>3. Mahanakal Ujjain, Madhya Pradesh</t>
        </is>
      </c>
    </row>
    <row r="101">
      <c r="B101" t="inlineStr">
        <is>
          <t>4. Omkar / Amaleshwar Omkar, Mandhata, Madhya Pradesh</t>
        </is>
      </c>
    </row>
    <row r="102">
      <c r="B102" t="inlineStr">
        <is>
          <t>5. Kedarnath Himalayas</t>
        </is>
      </c>
    </row>
    <row r="103">
      <c r="B103" t="inlineStr">
        <is>
          <t>6. Bhimashankar Dakini region, Taluka Khed, District Pune, Maharashtra</t>
        </is>
      </c>
    </row>
    <row r="104">
      <c r="B104" t="inlineStr">
        <is>
          <t>7. Vishveshwar Varanasi, Uttar Pradesh</t>
        </is>
      </c>
    </row>
    <row r="105">
      <c r="B105" t="inlineStr">
        <is>
          <t>8. Tryambakeshwar Near Nashik, Maharashtra</t>
        </is>
      </c>
    </row>
    <row r="106">
      <c r="B106" t="inlineStr">
        <is>
          <t>9. Vaidyanath (Vaijanath) Parli, District Beed, Maharashtra</t>
        </is>
      </c>
    </row>
    <row r="107">
      <c r="B107" t="inlineStr">
        <is>
          <t>10. Nagesh (Nagnath) (Note 2) Darukavan, Oundh, District Hingoli, Maharashtra</t>
        </is>
      </c>
    </row>
    <row r="108">
      <c r="B108" t="inlineStr">
        <is>
          <t>11. Rameshwaram Setubandh, near Kanyakumari, Tamilnadu</t>
        </is>
      </c>
    </row>
    <row r="109">
      <c r="B109" t="inlineStr">
        <is>
          <t>12. Ghrushneshwar (Ghrushnesh) Verul, District Aurangabad, Maharashtra</t>
        </is>
      </c>
    </row>
    <row r="113">
      <c r="B113" t="inlineStr">
        <is>
          <t>If your Moon sign shows your mind, then Janma Lagna shows you as a person</t>
        </is>
      </c>
    </row>
    <row r="114">
      <c r="B114" t="inlineStr">
        <is>
          <t>* Your physical body</t>
        </is>
      </c>
    </row>
    <row r="115">
      <c r="B115" t="inlineStr">
        <is>
          <t>* Your personality</t>
        </is>
      </c>
    </row>
    <row r="116">
      <c r="B116" t="inlineStr">
        <is>
          <t>*How people see you</t>
        </is>
      </c>
    </row>
    <row r="117">
      <c r="B117" t="inlineStr">
        <is>
          <t>*Your natural approach to life</t>
        </is>
      </c>
    </row>
    <row r="118">
      <c r="B118" t="inlineStr">
        <is>
          <t>it is like the "starting point" of your entire horoscope</t>
        </is>
      </c>
    </row>
    <row r="120">
      <c r="B120" t="inlineStr">
        <is>
          <t>The sign ( rashi ) rising in the eastern horizon at the time of your</t>
        </is>
      </c>
    </row>
    <row r="121">
      <c r="B121" t="inlineStr">
        <is>
          <t>birth is called Janma Lagna</t>
        </is>
      </c>
    </row>
    <row r="122">
      <c r="B122" t="inlineStr">
        <is>
          <t>The duration of each lagna is 2 hours approximately.</t>
        </is>
      </c>
    </row>
    <row r="123">
      <c r="B123" t="inlineStr">
        <is>
          <t>In a day there are 24 hrs . In the zodiac there are 12 Rashis (12</t>
        </is>
      </c>
    </row>
    <row r="124">
      <c r="B124" t="inlineStr">
        <is>
          <t>lagnas) . So all the 12 Lagnas will be covered in a day.</t>
        </is>
      </c>
    </row>
    <row r="125">
      <c r="B125" t="inlineStr">
        <is>
          <t>The duration or span of each Lagna is :</t>
        </is>
      </c>
    </row>
    <row r="126">
      <c r="B126" t="inlineStr">
        <is>
          <t>24 hrs = 2 hours per lagna</t>
        </is>
      </c>
    </row>
    <row r="127">
      <c r="B127" t="inlineStr">
        <is>
          <t>12 Rashis</t>
        </is>
      </c>
    </row>
    <row r="128">
      <c r="B128" t="inlineStr">
        <is>
          <t>LAGNA</t>
        </is>
      </c>
    </row>
    <row r="129">
      <c r="B129" t="inlineStr">
        <is>
          <t>Janma Lagna indicates the physical charachteristics of a person</t>
        </is>
      </c>
    </row>
    <row r="130">
      <c r="B130" t="inlineStr">
        <is>
          <t>while Janma Rashi indicates the mentality of the person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H20" sqref="H20"/>
    </sheetView>
  </sheetViews>
  <sheetFormatPr baseColWidth="8" defaultRowHeight="15"/>
  <cols>
    <col width="16.85546875" customWidth="1" min="2" max="2"/>
    <col width="14.7109375" customWidth="1" min="5" max="5"/>
  </cols>
  <sheetData>
    <row r="2">
      <c r="B2" t="inlineStr">
        <is>
          <t>English Name</t>
        </is>
      </c>
      <c r="C2" t="inlineStr">
        <is>
          <t>Lord</t>
        </is>
      </c>
      <c r="D2" t="inlineStr">
        <is>
          <t>MTR</t>
        </is>
      </c>
      <c r="E2" t="inlineStr">
        <is>
          <t>Exhalted</t>
        </is>
      </c>
      <c r="F2" t="inlineStr">
        <is>
          <t>Debilitated</t>
        </is>
      </c>
    </row>
    <row r="3">
      <c r="B3" t="inlineStr">
        <is>
          <t>Aries</t>
        </is>
      </c>
      <c r="C3" t="inlineStr">
        <is>
          <t>Mars</t>
        </is>
      </c>
      <c r="D3" t="inlineStr">
        <is>
          <t>Yes</t>
        </is>
      </c>
      <c r="E3" t="inlineStr">
        <is>
          <t>Sun</t>
        </is>
      </c>
      <c r="F3" t="inlineStr">
        <is>
          <t>Saturn</t>
        </is>
      </c>
    </row>
    <row r="4">
      <c r="B4" t="inlineStr">
        <is>
          <t>Taurus</t>
        </is>
      </c>
      <c r="C4" t="inlineStr">
        <is>
          <t>Venus</t>
        </is>
      </c>
      <c r="E4" t="inlineStr">
        <is>
          <t>Rahu, Moon</t>
        </is>
      </c>
      <c r="F4" t="inlineStr">
        <is>
          <t>Ketu</t>
        </is>
      </c>
    </row>
    <row r="5">
      <c r="B5" t="inlineStr">
        <is>
          <t>Gemini</t>
        </is>
      </c>
      <c r="C5" t="inlineStr">
        <is>
          <t>Mercury</t>
        </is>
      </c>
    </row>
    <row r="6">
      <c r="B6" t="inlineStr">
        <is>
          <t>Cancer</t>
        </is>
      </c>
      <c r="C6" t="inlineStr">
        <is>
          <t>Moon</t>
        </is>
      </c>
      <c r="D6" t="inlineStr">
        <is>
          <t>Yes</t>
        </is>
      </c>
      <c r="E6" t="inlineStr">
        <is>
          <t>Jupiter</t>
        </is>
      </c>
      <c r="F6" t="inlineStr">
        <is>
          <t>Mars</t>
        </is>
      </c>
    </row>
    <row r="7">
      <c r="B7" t="inlineStr">
        <is>
          <t>Leo</t>
        </is>
      </c>
      <c r="C7" t="inlineStr">
        <is>
          <t>Sun</t>
        </is>
      </c>
      <c r="D7" t="inlineStr">
        <is>
          <t>Yes</t>
        </is>
      </c>
    </row>
    <row r="8">
      <c r="B8" t="inlineStr">
        <is>
          <t>Virgo</t>
        </is>
      </c>
      <c r="C8" t="inlineStr">
        <is>
          <t>Mercury</t>
        </is>
      </c>
      <c r="D8" t="inlineStr">
        <is>
          <t>Yes</t>
        </is>
      </c>
      <c r="E8" t="inlineStr">
        <is>
          <t>Mercury</t>
        </is>
      </c>
      <c r="F8" t="inlineStr">
        <is>
          <t>Venus</t>
        </is>
      </c>
    </row>
    <row r="9">
      <c r="B9" t="inlineStr">
        <is>
          <t>Libra</t>
        </is>
      </c>
      <c r="C9" t="inlineStr">
        <is>
          <t>Venus</t>
        </is>
      </c>
      <c r="D9" t="inlineStr">
        <is>
          <t>Yes</t>
        </is>
      </c>
      <c r="E9" t="inlineStr">
        <is>
          <t>Saturn</t>
        </is>
      </c>
      <c r="F9" t="inlineStr">
        <is>
          <t>Sun</t>
        </is>
      </c>
    </row>
    <row r="10">
      <c r="B10" t="inlineStr">
        <is>
          <t>Scorpio</t>
        </is>
      </c>
      <c r="C10" t="inlineStr">
        <is>
          <t>Mars</t>
        </is>
      </c>
      <c r="E10" t="inlineStr">
        <is>
          <t>Ketu</t>
        </is>
      </c>
      <c r="F10" t="inlineStr">
        <is>
          <t>Rahu, Moon</t>
        </is>
      </c>
    </row>
    <row r="11">
      <c r="B11" t="inlineStr">
        <is>
          <t>Sagittarius</t>
        </is>
      </c>
      <c r="C11" t="inlineStr">
        <is>
          <t>Jupiter</t>
        </is>
      </c>
      <c r="D11" t="inlineStr">
        <is>
          <t>Yes</t>
        </is>
      </c>
    </row>
    <row r="12">
      <c r="B12" t="inlineStr">
        <is>
          <t>Capricorn</t>
        </is>
      </c>
      <c r="C12" t="inlineStr">
        <is>
          <t>Saturn</t>
        </is>
      </c>
      <c r="E12" t="inlineStr">
        <is>
          <t>Mars</t>
        </is>
      </c>
      <c r="F12" t="inlineStr">
        <is>
          <t>Jupiter</t>
        </is>
      </c>
    </row>
    <row r="13">
      <c r="B13" t="inlineStr">
        <is>
          <t>Aquarius</t>
        </is>
      </c>
      <c r="C13" t="inlineStr">
        <is>
          <t>Saturn</t>
        </is>
      </c>
      <c r="D13" t="inlineStr">
        <is>
          <t>Yes</t>
        </is>
      </c>
    </row>
    <row r="14">
      <c r="B14" t="inlineStr">
        <is>
          <t>Pisces</t>
        </is>
      </c>
      <c r="C14" t="inlineStr">
        <is>
          <t>Jupiter</t>
        </is>
      </c>
      <c r="E14" t="inlineStr">
        <is>
          <t>Venus</t>
        </is>
      </c>
      <c r="F14" t="inlineStr">
        <is>
          <t>Mercury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girish BP</dc:creator>
  <dcterms:created xsi:type="dcterms:W3CDTF">2026-04-23T16:16:48Z</dcterms:created>
  <dcterms:modified xsi:type="dcterms:W3CDTF">2026-05-15T14:35:53Z</dcterms:modified>
  <cp:lastModifiedBy>girish BP</cp:lastModifiedBy>
</cp:coreProperties>
</file>