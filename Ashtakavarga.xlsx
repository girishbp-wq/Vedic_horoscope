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htakavarga" sheetId="1" state="visible" r:id="rId3"/>
    <sheet name="Rules" sheetId="2" state="visible" r:id="rId4"/>
    <sheet name="Work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<sst xmlns="http://schemas.openxmlformats.org/spreadsheetml/2006/main" count="309" uniqueCount="76">
  <si>
    <t xml:space="preserve">Ashtakavarga — Bhinnashtakavarga (BAV) and Sarvashtakavarga (SAV)</t>
  </si>
  <si>
    <t xml:space="preserve">Pick each contributor's sidereal sign in column B (replace the sample chart with yours). Everything below recalculates. Rahu and Ketu take no part.</t>
  </si>
  <si>
    <t xml:space="preserve">Contributor</t>
  </si>
  <si>
    <t xml:space="preserve">Sign (choose)</t>
  </si>
  <si>
    <t xml:space="preserve">Sign #</t>
  </si>
  <si>
    <t xml:space="preserve">Sun</t>
  </si>
  <si>
    <t xml:space="preserve">Taurus</t>
  </si>
  <si>
    <t xml:space="preserve">Moon</t>
  </si>
  <si>
    <t xml:space="preserve">Sagittarius</t>
  </si>
  <si>
    <t xml:space="preserve">Mars</t>
  </si>
  <si>
    <t xml:space="preserve">Aquarius</t>
  </si>
  <si>
    <t xml:space="preserve">Mercury</t>
  </si>
  <si>
    <t xml:space="preserve">Aries</t>
  </si>
  <si>
    <t xml:space="preserve">Jupiter</t>
  </si>
  <si>
    <t xml:space="preserve">Gemini</t>
  </si>
  <si>
    <t xml:space="preserve">Venus</t>
  </si>
  <si>
    <t xml:space="preserve">Pisces</t>
  </si>
  <si>
    <t xml:space="preserve">Saturn</t>
  </si>
  <si>
    <t xml:space="preserve">Capricorn</t>
  </si>
  <si>
    <t xml:space="preserve">Lagna</t>
  </si>
  <si>
    <t xml:space="preserve">Bhinnashtakavarga (BAV) — one row per planet</t>
  </si>
  <si>
    <t xml:space="preserve">Planet</t>
  </si>
  <si>
    <t xml:space="preserve">Cancer</t>
  </si>
  <si>
    <t xml:space="preserve">Leo</t>
  </si>
  <si>
    <t xml:space="preserve">Virgo</t>
  </si>
  <si>
    <t xml:space="preserve">Libra</t>
  </si>
  <si>
    <t xml:space="preserve">Scorpio</t>
  </si>
  <si>
    <t xml:space="preserve">Total</t>
  </si>
  <si>
    <t xml:space="preserve">Classical</t>
  </si>
  <si>
    <t xml:space="preserve">Check</t>
  </si>
  <si>
    <t xml:space="preserve">Sarvashtakavarga (SAV) — all seven planets together</t>
  </si>
  <si>
    <t xml:space="preserve">Sign</t>
  </si>
  <si>
    <t xml:space="preserve">House from Lagna</t>
  </si>
  <si>
    <t xml:space="preserve">SAV bindus</t>
  </si>
  <si>
    <t xml:space="preserve">Shading — BAV: 5 or more bindus strong (green), 3-4 average (amber), fewer than 3 weak (red).</t>
  </si>
  <si>
    <t xml:space="preserve">Shading — SAV: 30 or more strong, 25-29 average, fewer than 25 weak. The SAV always totals 337 (about 28 per sign).</t>
  </si>
  <si>
    <t xml:space="preserve">Bold cell in the BAV table = that planet's own natal sign. Orange header = the Lagna sign.</t>
  </si>
  <si>
    <t xml:space="preserve">These are the unreduced (pre-sodhana) figures: no Trikona or Ekadhipatya reduction is applied.</t>
  </si>
  <si>
    <t xml:space="preserve">Ashtakavarga rules — houses (counted from the contributor, 1 = its own sign) that give a bindu</t>
  </si>
  <si>
    <t xml:space="preserve">1 = the contributor gives one bindu to the target planet's chart in that house from itself. Tables follow Brihat Parashara Hora Shastra, ch. 66. Edit a flag to test another school; the check cells at right turn to CHECK if a planet's total leaves its classical value.</t>
  </si>
  <si>
    <t xml:space="preserve">Moon rows: the BPHS text is used (Moon&lt;-Moon has house 9, Moon&lt;-Mars lacks 9, Moon&lt;-Jupiter has 2 not 12). Most modern books differ: Moon&lt;-Moon remove 9; Moon&lt;-Mars add 9; Moon&lt;-Jupiter replace 2 with 12.</t>
  </si>
  <si>
    <t xml:space="preserve">Target planet</t>
  </si>
  <si>
    <t xml:space="preserve">House 1</t>
  </si>
  <si>
    <t xml:space="preserve">House 2</t>
  </si>
  <si>
    <t xml:space="preserve">House 3</t>
  </si>
  <si>
    <t xml:space="preserve">House 4</t>
  </si>
  <si>
    <t xml:space="preserve">House 5</t>
  </si>
  <si>
    <t xml:space="preserve">House 6</t>
  </si>
  <si>
    <t xml:space="preserve">House 7</t>
  </si>
  <si>
    <t xml:space="preserve">House 8</t>
  </si>
  <si>
    <t xml:space="preserve">House 9</t>
  </si>
  <si>
    <t xml:space="preserve">House 10</t>
  </si>
  <si>
    <t xml:space="preserve">House 11</t>
  </si>
  <si>
    <t xml:space="preserve">House 12</t>
  </si>
  <si>
    <t xml:space="preserve">Bindus</t>
  </si>
  <si>
    <t xml:space="preserve">Target</t>
  </si>
  <si>
    <t xml:space="preserve">In table</t>
  </si>
  <si>
    <t xml:space="preserve">All</t>
  </si>
  <si>
    <t xml:space="preserve">Workings — what each contributor gives each sign, planet by planet</t>
  </si>
  <si>
    <t xml:space="preserve">Sign # (0 = Aries)</t>
  </si>
  <si>
    <t xml:space="preserve">Sun Ashtakavarga (classical total 48)</t>
  </si>
  <si>
    <t xml:space="preserve">From sign #</t>
  </si>
  <si>
    <t xml:space="preserve">Bindus given</t>
  </si>
  <si>
    <t xml:space="preserve">Sun BAV</t>
  </si>
  <si>
    <t xml:space="preserve">Moon Ashtakavarga (classical total 49)</t>
  </si>
  <si>
    <t xml:space="preserve">Moon BAV</t>
  </si>
  <si>
    <t xml:space="preserve">Mars Ashtakavarga (classical total 39)</t>
  </si>
  <si>
    <t xml:space="preserve">Mars BAV</t>
  </si>
  <si>
    <t xml:space="preserve">Mercury Ashtakavarga (classical total 54)</t>
  </si>
  <si>
    <t xml:space="preserve">Mercury BAV</t>
  </si>
  <si>
    <t xml:space="preserve">Jupiter Ashtakavarga (classical total 56)</t>
  </si>
  <si>
    <t xml:space="preserve">Jupiter BAV</t>
  </si>
  <si>
    <t xml:space="preserve">Venus Ashtakavarga (classical total 52)</t>
  </si>
  <si>
    <t xml:space="preserve">Venus BAV</t>
  </si>
  <si>
    <t xml:space="preserve">Saturn Ashtakavarga (classical total 39)</t>
  </si>
  <si>
    <t xml:space="preserve">Saturn BAV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</si>
</sst>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6B1D2B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6B1D2B"/>
      <name val="Cambria"/>
      <family val="0"/>
      <charset val="1"/>
    </font>
    <font>
      <i val="true"/>
      <sz val="11"/>
      <color rgb="FF8A7A55"/>
      <name val="Cambria"/>
      <family val="0"/>
      <charset val="1"/>
    </font>
    <font>
      <b val="true"/>
      <sz val="13"/>
      <color rgb="FF6B1D2B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6B1D2B"/>
        <bgColor rgb="FF800000"/>
      </patternFill>
    </fill>
    <fill>
      <patternFill patternType="solid">
        <fgColor rgb="FFFFF7E4"/>
        <bgColor rgb="FFFDF0C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69A"/>
      </left>
      <right style="thin">
        <color rgb="FFD8C69A"/>
      </right>
      <top style="thin">
        <color rgb="FFD8C69A"/>
      </top>
      <bottom style="thin">
        <color rgb="FFD8C69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b val="1"/>
        <color rgb="FF6B1D2B"/>
      </font>
      <fill>
        <patternFill>
          <bgColor rgb="FFDCEFD5"/>
        </patternFill>
      </fill>
      <border diagonalUp="false" diagonalDown="false">
        <left style="medium">
          <color rgb="FF6B1D2B"/>
        </left>
        <right style="medium">
          <color rgb="FF6B1D2B"/>
        </right>
        <top style="medium">
          <color rgb="FF6B1D2B"/>
        </top>
        <bottom style="medium">
          <color rgb="FF6B1D2B"/>
        </bottom>
        <diagonal/>
      </border>
    </dxf>
    <dxf>
      <font>
        <b val="1"/>
        <color rgb="FF6B1D2B"/>
      </font>
      <fill>
        <patternFill>
          <bgColor rgb="FFFDF0C8"/>
        </patternFill>
      </fill>
      <border diagonalUp="false" diagonalDown="false">
        <left style="medium">
          <color rgb="FF6B1D2B"/>
        </left>
        <right style="medium">
          <color rgb="FF6B1D2B"/>
        </right>
        <top style="medium">
          <color rgb="FF6B1D2B"/>
        </top>
        <bottom style="medium">
          <color rgb="FF6B1D2B"/>
        </bottom>
        <diagonal/>
      </border>
    </dxf>
    <dxf>
      <font>
        <b val="1"/>
        <color rgb="FF6B1D2B"/>
      </font>
      <fill>
        <patternFill>
          <bgColor rgb="FFF6D9D2"/>
        </patternFill>
      </fill>
      <border diagonalUp="false" diagonalDown="false">
        <left style="medium">
          <color rgb="FF6B1D2B"/>
        </left>
        <right style="medium">
          <color rgb="FF6B1D2B"/>
        </right>
        <top style="medium">
          <color rgb="FF6B1D2B"/>
        </top>
        <bottom style="medium">
          <color rgb="FF6B1D2B"/>
        </bottom>
        <diagonal/>
      </border>
    </dxf>
    <dxf>
      <fill>
        <patternFill>
          <bgColor rgb="FFDCEFD5"/>
        </patternFill>
      </fill>
    </dxf>
    <dxf>
      <fill>
        <patternFill>
          <bgColor rgb="FFFDF0C8"/>
        </patternFill>
      </fill>
    </dxf>
    <dxf>
      <fill>
        <patternFill>
          <bgColor rgb="FFF6D9D2"/>
        </patternFill>
      </fill>
    </dxf>
    <dxf>
      <fill>
        <patternFill>
          <bgColor rgb="FFD97324"/>
        </patternFill>
      </fill>
    </dxf>
    <dxf>
      <font>
        <b val="1"/>
        <color rgb="FFFFFFFF"/>
      </font>
      <fill>
        <patternFill>
          <bgColor rgb="FFC0392B"/>
        </patternFill>
      </fill>
    </dxf>
    <dxf>
      <font>
        <b val="1"/>
        <color rgb="FF2A6F6A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B1D2B"/>
      <rgbColor rgb="FF008000"/>
      <rgbColor rgb="FF000080"/>
      <rgbColor rgb="FF808000"/>
      <rgbColor rgb="FF800080"/>
      <rgbColor rgb="FF2A6F6A"/>
      <rgbColor rgb="FFD8C69A"/>
      <rgbColor rgb="FF8A7A55"/>
      <rgbColor rgb="FF9999FF"/>
      <rgbColor rgb="FF993366"/>
      <rgbColor rgb="FFFFF7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FD5"/>
      <rgbColor rgb="FFFDF0C8"/>
      <rgbColor rgb="FF99CCFF"/>
      <rgbColor rgb="FFFF99CC"/>
      <rgbColor rgb="FFCC99FF"/>
      <rgbColor rgb="FFF6D9D2"/>
      <rgbColor rgb="FF3366FF"/>
      <rgbColor rgb="FF33CCCC"/>
      <rgbColor rgb="FF99CC00"/>
      <rgbColor rgb="FFFFCC00"/>
      <rgbColor rgb="FFFF9900"/>
      <rgbColor rgb="FFD97324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13" min="3" style="0" width="11"/>
    <col collapsed="false" customWidth="true" hidden="false" outlineLevel="0" max="16" min="14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  <c r="C5" s="5" t="n">
        <f aca="false">MATCH(B5,Workings!$C$3:$N$3,0)-1</f>
        <v>1</v>
      </c>
    </row>
    <row r="6" customFormat="false" ht="15" hidden="false" customHeight="false" outlineLevel="0" collapsed="false">
      <c r="A6" s="3" t="s">
        <v>7</v>
      </c>
      <c r="B6" s="4" t="s">
        <v>8</v>
      </c>
      <c r="C6" s="5" t="n">
        <f aca="false">MATCH(B6,Workings!$C$3:$N$3,0)-1</f>
        <v>8</v>
      </c>
    </row>
    <row r="7" customFormat="false" ht="15" hidden="false" customHeight="false" outlineLevel="0" collapsed="false">
      <c r="A7" s="3" t="s">
        <v>9</v>
      </c>
      <c r="B7" s="4" t="s">
        <v>10</v>
      </c>
      <c r="C7" s="5" t="n">
        <f aca="false">MATCH(B7,Workings!$C$3:$N$3,0)-1</f>
        <v>10</v>
      </c>
    </row>
    <row r="8" customFormat="false" ht="15" hidden="false" customHeight="false" outlineLevel="0" collapsed="false">
      <c r="A8" s="3" t="s">
        <v>11</v>
      </c>
      <c r="B8" s="4" t="s">
        <v>12</v>
      </c>
      <c r="C8" s="5" t="n">
        <f aca="false">MATCH(B8,Workings!$C$3:$N$3,0)-1</f>
        <v>0</v>
      </c>
    </row>
    <row r="9" customFormat="false" ht="15" hidden="false" customHeight="false" outlineLevel="0" collapsed="false">
      <c r="A9" s="3" t="s">
        <v>13</v>
      </c>
      <c r="B9" s="4" t="s">
        <v>14</v>
      </c>
      <c r="C9" s="5" t="n">
        <f aca="false">MATCH(B9,Workings!$C$3:$N$3,0)-1</f>
        <v>2</v>
      </c>
    </row>
    <row r="10" customFormat="false" ht="15" hidden="false" customHeight="false" outlineLevel="0" collapsed="false">
      <c r="A10" s="3" t="s">
        <v>15</v>
      </c>
      <c r="B10" s="4" t="s">
        <v>16</v>
      </c>
      <c r="C10" s="5" t="n">
        <f aca="false">MATCH(B10,Workings!$C$3:$N$3,0)-1</f>
        <v>11</v>
      </c>
    </row>
    <row r="11" customFormat="false" ht="15" hidden="false" customHeight="false" outlineLevel="0" collapsed="false">
      <c r="A11" s="3" t="s">
        <v>17</v>
      </c>
      <c r="B11" s="4" t="s">
        <v>18</v>
      </c>
      <c r="C11" s="5" t="n">
        <f aca="false">MATCH(B11,Workings!$C$3:$N$3,0)-1</f>
        <v>9</v>
      </c>
    </row>
    <row r="12" customFormat="false" ht="15" hidden="false" customHeight="false" outlineLevel="0" collapsed="false">
      <c r="A12" s="3" t="s">
        <v>19</v>
      </c>
      <c r="B12" s="4" t="s">
        <v>6</v>
      </c>
      <c r="C12" s="5" t="n">
        <f aca="false">MATCH(B12,Workings!$C$3:$N$3,0)-1</f>
        <v>1</v>
      </c>
    </row>
    <row r="14" customFormat="false" ht="15" hidden="false" customHeight="false" outlineLevel="0" collapsed="false">
      <c r="A14" s="6" t="s">
        <v>20</v>
      </c>
    </row>
    <row r="15" customFormat="false" ht="15" hidden="false" customHeight="false" outlineLevel="0" collapsed="false">
      <c r="A15" s="2" t="s">
        <v>21</v>
      </c>
      <c r="B15" s="2" t="s">
        <v>12</v>
      </c>
      <c r="C15" s="2" t="s">
        <v>6</v>
      </c>
      <c r="D15" s="2" t="s">
        <v>14</v>
      </c>
      <c r="E15" s="2" t="s">
        <v>22</v>
      </c>
      <c r="F15" s="2" t="s">
        <v>23</v>
      </c>
      <c r="G15" s="2" t="s">
        <v>24</v>
      </c>
      <c r="H15" s="2" t="s">
        <v>25</v>
      </c>
      <c r="I15" s="2" t="s">
        <v>26</v>
      </c>
      <c r="J15" s="2" t="s">
        <v>8</v>
      </c>
      <c r="K15" s="2" t="s">
        <v>18</v>
      </c>
      <c r="L15" s="2" t="s">
        <v>10</v>
      </c>
      <c r="M15" s="2" t="s">
        <v>16</v>
      </c>
      <c r="N15" s="2" t="s">
        <v>27</v>
      </c>
      <c r="O15" s="2" t="s">
        <v>28</v>
      </c>
      <c r="P15" s="2" t="s">
        <v>29</v>
      </c>
    </row>
    <row r="16" customFormat="false" ht="15" hidden="false" customHeight="false" outlineLevel="0" collapsed="false">
      <c r="A16" s="3" t="s">
        <v>5</v>
      </c>
      <c r="B16" s="5" t="n">
        <f aca="false">Workings!C15</f>
        <v>3</v>
      </c>
      <c r="C16" s="5" t="n">
        <f aca="false">Workings!D15</f>
        <v>3</v>
      </c>
      <c r="D16" s="5" t="n">
        <f aca="false">Workings!E15</f>
        <v>2</v>
      </c>
      <c r="E16" s="5" t="n">
        <f aca="false">Workings!F15</f>
        <v>2</v>
      </c>
      <c r="F16" s="5" t="n">
        <f aca="false">Workings!G15</f>
        <v>6</v>
      </c>
      <c r="G16" s="5" t="n">
        <f aca="false">Workings!H15</f>
        <v>5</v>
      </c>
      <c r="H16" s="5" t="n">
        <f aca="false">Workings!I15</f>
        <v>5</v>
      </c>
      <c r="I16" s="5" t="n">
        <f aca="false">Workings!J15</f>
        <v>4</v>
      </c>
      <c r="J16" s="5" t="n">
        <f aca="false">Workings!K15</f>
        <v>3</v>
      </c>
      <c r="K16" s="5" t="n">
        <f aca="false">Workings!L15</f>
        <v>3</v>
      </c>
      <c r="L16" s="5" t="n">
        <f aca="false">Workings!M15</f>
        <v>8</v>
      </c>
      <c r="M16" s="5" t="n">
        <f aca="false">Workings!N15</f>
        <v>4</v>
      </c>
      <c r="N16" s="7" t="n">
        <f aca="false">SUM(B16:M16)</f>
        <v>48</v>
      </c>
      <c r="O16" s="5" t="n">
        <v>48</v>
      </c>
      <c r="P16" s="8" t="str">
        <f aca="false">IF(N16=O16,"OK","CHECK")</f>
        <v>OK</v>
      </c>
    </row>
    <row r="17" customFormat="false" ht="15" hidden="false" customHeight="false" outlineLevel="0" collapsed="false">
      <c r="A17" s="3" t="s">
        <v>7</v>
      </c>
      <c r="B17" s="5" t="n">
        <f aca="false">Workings!C27</f>
        <v>3</v>
      </c>
      <c r="C17" s="5" t="n">
        <f aca="false">Workings!D27</f>
        <v>3</v>
      </c>
      <c r="D17" s="5" t="n">
        <f aca="false">Workings!E27</f>
        <v>6</v>
      </c>
      <c r="E17" s="5" t="n">
        <f aca="false">Workings!F27</f>
        <v>6</v>
      </c>
      <c r="F17" s="5" t="n">
        <f aca="false">Workings!G27</f>
        <v>2</v>
      </c>
      <c r="G17" s="5" t="n">
        <f aca="false">Workings!H27</f>
        <v>3</v>
      </c>
      <c r="H17" s="5" t="n">
        <f aca="false">Workings!I27</f>
        <v>4</v>
      </c>
      <c r="I17" s="5" t="n">
        <f aca="false">Workings!J27</f>
        <v>5</v>
      </c>
      <c r="J17" s="5" t="n">
        <f aca="false">Workings!K27</f>
        <v>5</v>
      </c>
      <c r="K17" s="5" t="n">
        <f aca="false">Workings!L27</f>
        <v>3</v>
      </c>
      <c r="L17" s="5" t="n">
        <f aca="false">Workings!M27</f>
        <v>4</v>
      </c>
      <c r="M17" s="5" t="n">
        <f aca="false">Workings!N27</f>
        <v>5</v>
      </c>
      <c r="N17" s="7" t="n">
        <f aca="false">SUM(B17:M17)</f>
        <v>49</v>
      </c>
      <c r="O17" s="5" t="n">
        <v>49</v>
      </c>
      <c r="P17" s="8" t="str">
        <f aca="false">IF(N17=O17,"OK","CHECK")</f>
        <v>OK</v>
      </c>
    </row>
    <row r="18" customFormat="false" ht="15" hidden="false" customHeight="false" outlineLevel="0" collapsed="false">
      <c r="A18" s="3" t="s">
        <v>9</v>
      </c>
      <c r="B18" s="5" t="n">
        <f aca="false">Workings!C39</f>
        <v>2</v>
      </c>
      <c r="C18" s="5" t="n">
        <f aca="false">Workings!D39</f>
        <v>4</v>
      </c>
      <c r="D18" s="5" t="n">
        <f aca="false">Workings!E39</f>
        <v>1</v>
      </c>
      <c r="E18" s="5" t="n">
        <f aca="false">Workings!F39</f>
        <v>3</v>
      </c>
      <c r="F18" s="5" t="n">
        <f aca="false">Workings!G39</f>
        <v>4</v>
      </c>
      <c r="G18" s="5" t="n">
        <f aca="false">Workings!H39</f>
        <v>4</v>
      </c>
      <c r="H18" s="5" t="n">
        <f aca="false">Workings!I39</f>
        <v>5</v>
      </c>
      <c r="I18" s="5" t="n">
        <f aca="false">Workings!J39</f>
        <v>3</v>
      </c>
      <c r="J18" s="5" t="n">
        <f aca="false">Workings!K39</f>
        <v>1</v>
      </c>
      <c r="K18" s="5" t="n">
        <f aca="false">Workings!L39</f>
        <v>2</v>
      </c>
      <c r="L18" s="5" t="n">
        <f aca="false">Workings!M39</f>
        <v>6</v>
      </c>
      <c r="M18" s="5" t="n">
        <f aca="false">Workings!N39</f>
        <v>4</v>
      </c>
      <c r="N18" s="7" t="n">
        <f aca="false">SUM(B18:M18)</f>
        <v>39</v>
      </c>
      <c r="O18" s="5" t="n">
        <v>39</v>
      </c>
      <c r="P18" s="8" t="str">
        <f aca="false">IF(N18=O18,"OK","CHECK")</f>
        <v>OK</v>
      </c>
    </row>
    <row r="19" customFormat="false" ht="15" hidden="false" customHeight="false" outlineLevel="0" collapsed="false">
      <c r="A19" s="3" t="s">
        <v>11</v>
      </c>
      <c r="B19" s="5" t="n">
        <f aca="false">Workings!C51</f>
        <v>5</v>
      </c>
      <c r="C19" s="5" t="n">
        <f aca="false">Workings!D51</f>
        <v>5</v>
      </c>
      <c r="D19" s="5" t="n">
        <f aca="false">Workings!E51</f>
        <v>3</v>
      </c>
      <c r="E19" s="5" t="n">
        <f aca="false">Workings!F51</f>
        <v>3</v>
      </c>
      <c r="F19" s="5" t="n">
        <f aca="false">Workings!G51</f>
        <v>4</v>
      </c>
      <c r="G19" s="5" t="n">
        <f aca="false">Workings!H51</f>
        <v>5</v>
      </c>
      <c r="H19" s="5" t="n">
        <f aca="false">Workings!I51</f>
        <v>6</v>
      </c>
      <c r="I19" s="5" t="n">
        <f aca="false">Workings!J51</f>
        <v>4</v>
      </c>
      <c r="J19" s="5" t="n">
        <f aca="false">Workings!K51</f>
        <v>3</v>
      </c>
      <c r="K19" s="5" t="n">
        <f aca="false">Workings!L51</f>
        <v>6</v>
      </c>
      <c r="L19" s="5" t="n">
        <f aca="false">Workings!M51</f>
        <v>4</v>
      </c>
      <c r="M19" s="5" t="n">
        <f aca="false">Workings!N51</f>
        <v>6</v>
      </c>
      <c r="N19" s="7" t="n">
        <f aca="false">SUM(B19:M19)</f>
        <v>54</v>
      </c>
      <c r="O19" s="5" t="n">
        <v>54</v>
      </c>
      <c r="P19" s="8" t="str">
        <f aca="false">IF(N19=O19,"OK","CHECK")</f>
        <v>OK</v>
      </c>
    </row>
    <row r="20" customFormat="false" ht="15" hidden="false" customHeight="false" outlineLevel="0" collapsed="false">
      <c r="A20" s="3" t="s">
        <v>13</v>
      </c>
      <c r="B20" s="5" t="n">
        <f aca="false">Workings!C63</f>
        <v>4</v>
      </c>
      <c r="C20" s="5" t="n">
        <f aca="false">Workings!D63</f>
        <v>5</v>
      </c>
      <c r="D20" s="5" t="n">
        <f aca="false">Workings!E63</f>
        <v>5</v>
      </c>
      <c r="E20" s="5" t="n">
        <f aca="false">Workings!F63</f>
        <v>4</v>
      </c>
      <c r="F20" s="5" t="n">
        <f aca="false">Workings!G63</f>
        <v>7</v>
      </c>
      <c r="G20" s="5" t="n">
        <f aca="false">Workings!H63</f>
        <v>4</v>
      </c>
      <c r="H20" s="5" t="n">
        <f aca="false">Workings!I63</f>
        <v>2</v>
      </c>
      <c r="I20" s="5" t="n">
        <f aca="false">Workings!J63</f>
        <v>4</v>
      </c>
      <c r="J20" s="5" t="n">
        <f aca="false">Workings!K63</f>
        <v>6</v>
      </c>
      <c r="K20" s="5" t="n">
        <f aca="false">Workings!L63</f>
        <v>6</v>
      </c>
      <c r="L20" s="5" t="n">
        <f aca="false">Workings!M63</f>
        <v>4</v>
      </c>
      <c r="M20" s="5" t="n">
        <f aca="false">Workings!N63</f>
        <v>5</v>
      </c>
      <c r="N20" s="7" t="n">
        <f aca="false">SUM(B20:M20)</f>
        <v>56</v>
      </c>
      <c r="O20" s="5" t="n">
        <v>56</v>
      </c>
      <c r="P20" s="8" t="str">
        <f aca="false">IF(N20=O20,"OK","CHECK")</f>
        <v>OK</v>
      </c>
    </row>
    <row r="21" customFormat="false" ht="15" hidden="false" customHeight="false" outlineLevel="0" collapsed="false">
      <c r="A21" s="3" t="s">
        <v>15</v>
      </c>
      <c r="B21" s="5" t="n">
        <f aca="false">Workings!C75</f>
        <v>6</v>
      </c>
      <c r="C21" s="5" t="n">
        <f aca="false">Workings!D75</f>
        <v>4</v>
      </c>
      <c r="D21" s="5" t="n">
        <f aca="false">Workings!E75</f>
        <v>3</v>
      </c>
      <c r="E21" s="5" t="n">
        <f aca="false">Workings!F75</f>
        <v>4</v>
      </c>
      <c r="F21" s="5" t="n">
        <f aca="false">Workings!G75</f>
        <v>4</v>
      </c>
      <c r="G21" s="5" t="n">
        <f aca="false">Workings!H75</f>
        <v>3</v>
      </c>
      <c r="H21" s="5" t="n">
        <f aca="false">Workings!I75</f>
        <v>5</v>
      </c>
      <c r="I21" s="5" t="n">
        <f aca="false">Workings!J75</f>
        <v>3</v>
      </c>
      <c r="J21" s="5" t="n">
        <f aca="false">Workings!K75</f>
        <v>6</v>
      </c>
      <c r="K21" s="5" t="n">
        <f aca="false">Workings!L75</f>
        <v>5</v>
      </c>
      <c r="L21" s="5" t="n">
        <f aca="false">Workings!M75</f>
        <v>3</v>
      </c>
      <c r="M21" s="5" t="n">
        <f aca="false">Workings!N75</f>
        <v>6</v>
      </c>
      <c r="N21" s="7" t="n">
        <f aca="false">SUM(B21:M21)</f>
        <v>52</v>
      </c>
      <c r="O21" s="5" t="n">
        <v>52</v>
      </c>
      <c r="P21" s="8" t="str">
        <f aca="false">IF(N21=O21,"OK","CHECK")</f>
        <v>OK</v>
      </c>
    </row>
    <row r="22" customFormat="false" ht="15" hidden="false" customHeight="false" outlineLevel="0" collapsed="false">
      <c r="A22" s="3" t="s">
        <v>17</v>
      </c>
      <c r="B22" s="5" t="n">
        <f aca="false">Workings!C87</f>
        <v>2</v>
      </c>
      <c r="C22" s="5" t="n">
        <f aca="false">Workings!D87</f>
        <v>5</v>
      </c>
      <c r="D22" s="5" t="n">
        <f aca="false">Workings!E87</f>
        <v>3</v>
      </c>
      <c r="E22" s="5" t="n">
        <f aca="false">Workings!F87</f>
        <v>2</v>
      </c>
      <c r="F22" s="5" t="n">
        <f aca="false">Workings!G87</f>
        <v>3</v>
      </c>
      <c r="G22" s="5" t="n">
        <f aca="false">Workings!H87</f>
        <v>1</v>
      </c>
      <c r="H22" s="5" t="n">
        <f aca="false">Workings!I87</f>
        <v>3</v>
      </c>
      <c r="I22" s="5" t="n">
        <f aca="false">Workings!J87</f>
        <v>5</v>
      </c>
      <c r="J22" s="5" t="n">
        <f aca="false">Workings!K87</f>
        <v>3</v>
      </c>
      <c r="K22" s="5" t="n">
        <f aca="false">Workings!L87</f>
        <v>3</v>
      </c>
      <c r="L22" s="5" t="n">
        <f aca="false">Workings!M87</f>
        <v>5</v>
      </c>
      <c r="M22" s="5" t="n">
        <f aca="false">Workings!N87</f>
        <v>4</v>
      </c>
      <c r="N22" s="7" t="n">
        <f aca="false">SUM(B22:M22)</f>
        <v>39</v>
      </c>
      <c r="O22" s="5" t="n">
        <v>39</v>
      </c>
      <c r="P22" s="8" t="str">
        <f aca="false">IF(N22=O22,"OK","CHECK")</f>
        <v>OK</v>
      </c>
    </row>
    <row r="24" customFormat="false" ht="15" hidden="false" customHeight="false" outlineLevel="0" collapsed="false">
      <c r="A24" s="6" t="s">
        <v>30</v>
      </c>
    </row>
    <row r="25" customFormat="false" ht="15" hidden="false" customHeight="false" outlineLevel="0" collapsed="false">
      <c r="A25" s="2" t="s">
        <v>31</v>
      </c>
      <c r="B25" s="2" t="s">
        <v>12</v>
      </c>
      <c r="C25" s="2" t="s">
        <v>6</v>
      </c>
      <c r="D25" s="2" t="s">
        <v>14</v>
      </c>
      <c r="E25" s="2" t="s">
        <v>22</v>
      </c>
      <c r="F25" s="2" t="s">
        <v>23</v>
      </c>
      <c r="G25" s="2" t="s">
        <v>24</v>
      </c>
      <c r="H25" s="2" t="s">
        <v>25</v>
      </c>
      <c r="I25" s="2" t="s">
        <v>26</v>
      </c>
      <c r="J25" s="2" t="s">
        <v>8</v>
      </c>
      <c r="K25" s="2" t="s">
        <v>18</v>
      </c>
      <c r="L25" s="2" t="s">
        <v>10</v>
      </c>
      <c r="M25" s="2" t="s">
        <v>16</v>
      </c>
      <c r="N25" s="2" t="s">
        <v>27</v>
      </c>
      <c r="O25" s="2" t="s">
        <v>28</v>
      </c>
      <c r="P25" s="2" t="s">
        <v>29</v>
      </c>
    </row>
    <row r="26" customFormat="false" ht="15" hidden="false" customHeight="false" outlineLevel="0" collapsed="false">
      <c r="A26" s="3" t="s">
        <v>32</v>
      </c>
      <c r="B26" s="5" t="n">
        <f aca="false">MOD(Workings!C$4-$C$12,12)+1</f>
        <v>12</v>
      </c>
      <c r="C26" s="5" t="n">
        <f aca="false">MOD(Workings!D$4-$C$12,12)+1</f>
        <v>1</v>
      </c>
      <c r="D26" s="5" t="n">
        <f aca="false">MOD(Workings!E$4-$C$12,12)+1</f>
        <v>2</v>
      </c>
      <c r="E26" s="5" t="n">
        <f aca="false">MOD(Workings!F$4-$C$12,12)+1</f>
        <v>3</v>
      </c>
      <c r="F26" s="5" t="n">
        <f aca="false">MOD(Workings!G$4-$C$12,12)+1</f>
        <v>4</v>
      </c>
      <c r="G26" s="5" t="n">
        <f aca="false">MOD(Workings!H$4-$C$12,12)+1</f>
        <v>5</v>
      </c>
      <c r="H26" s="5" t="n">
        <f aca="false">MOD(Workings!I$4-$C$12,12)+1</f>
        <v>6</v>
      </c>
      <c r="I26" s="5" t="n">
        <f aca="false">MOD(Workings!J$4-$C$12,12)+1</f>
        <v>7</v>
      </c>
      <c r="J26" s="5" t="n">
        <f aca="false">MOD(Workings!K$4-$C$12,12)+1</f>
        <v>8</v>
      </c>
      <c r="K26" s="5" t="n">
        <f aca="false">MOD(Workings!L$4-$C$12,12)+1</f>
        <v>9</v>
      </c>
      <c r="L26" s="5" t="n">
        <f aca="false">MOD(Workings!M$4-$C$12,12)+1</f>
        <v>10</v>
      </c>
      <c r="M26" s="5" t="n">
        <f aca="false">MOD(Workings!N$4-$C$12,12)+1</f>
        <v>11</v>
      </c>
      <c r="N26" s="5"/>
      <c r="O26" s="5"/>
      <c r="P26" s="5"/>
    </row>
    <row r="27" customFormat="false" ht="15" hidden="false" customHeight="false" outlineLevel="0" collapsed="false">
      <c r="A27" s="3" t="s">
        <v>33</v>
      </c>
      <c r="B27" s="7" t="n">
        <f aca="false">SUM(B16:B22)</f>
        <v>25</v>
      </c>
      <c r="C27" s="7" t="n">
        <f aca="false">SUM(C16:C22)</f>
        <v>29</v>
      </c>
      <c r="D27" s="7" t="n">
        <f aca="false">SUM(D16:D22)</f>
        <v>23</v>
      </c>
      <c r="E27" s="7" t="n">
        <f aca="false">SUM(E16:E22)</f>
        <v>24</v>
      </c>
      <c r="F27" s="7" t="n">
        <f aca="false">SUM(F16:F22)</f>
        <v>30</v>
      </c>
      <c r="G27" s="7" t="n">
        <f aca="false">SUM(G16:G22)</f>
        <v>25</v>
      </c>
      <c r="H27" s="7" t="n">
        <f aca="false">SUM(H16:H22)</f>
        <v>30</v>
      </c>
      <c r="I27" s="7" t="n">
        <f aca="false">SUM(I16:I22)</f>
        <v>28</v>
      </c>
      <c r="J27" s="7" t="n">
        <f aca="false">SUM(J16:J22)</f>
        <v>27</v>
      </c>
      <c r="K27" s="7" t="n">
        <f aca="false">SUM(K16:K22)</f>
        <v>28</v>
      </c>
      <c r="L27" s="7" t="n">
        <f aca="false">SUM(L16:L22)</f>
        <v>34</v>
      </c>
      <c r="M27" s="7" t="n">
        <f aca="false">SUM(M16:M22)</f>
        <v>34</v>
      </c>
      <c r="N27" s="7" t="n">
        <f aca="false">SUM(B27:M27)</f>
        <v>337</v>
      </c>
      <c r="O27" s="5" t="n">
        <v>337</v>
      </c>
      <c r="P27" s="8" t="str">
        <f aca="false">IF(AND(N27=O27,COUNTIF(P16:P22,"OK")=7),"OK","CHECK")</f>
        <v>OK</v>
      </c>
    </row>
    <row r="29" customFormat="false" ht="15" hidden="false" customHeight="false" outlineLevel="0" collapsed="false">
      <c r="A29" s="9" t="s">
        <v>34</v>
      </c>
    </row>
    <row r="30" customFormat="false" ht="15" hidden="false" customHeight="false" outlineLevel="0" collapsed="false">
      <c r="A30" s="9" t="s">
        <v>35</v>
      </c>
    </row>
    <row r="31" customFormat="false" ht="15" hidden="false" customHeight="false" outlineLevel="0" collapsed="false">
      <c r="A31" s="9" t="s">
        <v>36</v>
      </c>
    </row>
    <row r="32" customFormat="false" ht="15" hidden="false" customHeight="false" outlineLevel="0" collapsed="false">
      <c r="A32" s="9" t="s">
        <v>37</v>
      </c>
    </row>
  </sheetData>
  <conditionalFormatting sqref="B16:M22">
    <cfRule type="expression" priority="2" aboveAverage="0" equalAverage="0" bottom="0" percent="0" rank="0" text="" dxfId="0">
      <formula>AND(COLUMN(B16)-2=INDEX($C$5:$C$11,ROW(B16)-15),B16&gt;=5)</formula>
    </cfRule>
    <cfRule type="expression" priority="3" aboveAverage="0" equalAverage="0" bottom="0" percent="0" rank="0" text="" dxfId="1">
      <formula>AND(COLUMN(B16)-2=INDEX($C$5:$C$11,ROW(B16)-15),AND(B16&gt;=3,B16&lt;=4))</formula>
    </cfRule>
    <cfRule type="expression" priority="4" aboveAverage="0" equalAverage="0" bottom="0" percent="0" rank="0" text="" dxfId="2">
      <formula>AND(COLUMN(B16)-2=INDEX($C$5:$C$11,ROW(B16)-15),B16&lt;3)</formula>
    </cfRule>
    <cfRule type="cellIs" priority="5" operator="greaterThanOrEqual" aboveAverage="0" equalAverage="0" bottom="0" percent="0" rank="0" text="" dxfId="3">
      <formula>5</formula>
    </cfRule>
    <cfRule type="cellIs" priority="6" operator="between" aboveAverage="0" equalAverage="0" bottom="0" percent="0" rank="0" text="" dxfId="4">
      <formula>3</formula>
      <formula>4</formula>
    </cfRule>
    <cfRule type="cellIs" priority="7" operator="lessThan" aboveAverage="0" equalAverage="0" bottom="0" percent="0" rank="0" text="" dxfId="5">
      <formula>3</formula>
    </cfRule>
  </conditionalFormatting>
  <conditionalFormatting sqref="B27:M27">
    <cfRule type="cellIs" priority="8" operator="greaterThanOrEqual" aboveAverage="0" equalAverage="0" bottom="0" percent="0" rank="0" text="" dxfId="3">
      <formula>30</formula>
    </cfRule>
    <cfRule type="cellIs" priority="9" operator="between" aboveAverage="0" equalAverage="0" bottom="0" percent="0" rank="0" text="" dxfId="4">
      <formula>25</formula>
      <formula>29</formula>
    </cfRule>
    <cfRule type="cellIs" priority="10" operator="lessThan" aboveAverage="0" equalAverage="0" bottom="0" percent="0" rank="0" text="" dxfId="5">
      <formula>25</formula>
    </cfRule>
  </conditionalFormatting>
  <conditionalFormatting sqref="B15:M15">
    <cfRule type="expression" priority="11" aboveAverage="0" equalAverage="0" bottom="0" percent="0" rank="0" text="" dxfId="6">
      <formula>COLUMN(B15)-2=$C$12</formula>
    </cfRule>
  </conditionalFormatting>
  <conditionalFormatting sqref="B25:M25">
    <cfRule type="expression" priority="12" aboveAverage="0" equalAverage="0" bottom="0" percent="0" rank="0" text="" dxfId="6">
      <formula>COLUMN(B25)-2=$C$12</formula>
    </cfRule>
  </conditionalFormatting>
  <conditionalFormatting sqref="P16:P22">
    <cfRule type="cellIs" priority="13" operator="equal" aboveAverage="0" equalAverage="0" bottom="0" percent="0" rank="0" text="" dxfId="7">
      <formula>"CHECK"</formula>
    </cfRule>
    <cfRule type="cellIs" priority="14" operator="equal" aboveAverage="0" equalAverage="0" bottom="0" percent="0" rank="0" text="" dxfId="8">
      <formula>"OK"</formula>
    </cfRule>
  </conditionalFormatting>
  <conditionalFormatting sqref="P27">
    <cfRule type="cellIs" priority="15" operator="equal" aboveAverage="0" equalAverage="0" bottom="0" percent="0" rank="0" text="" dxfId="7">
      <formula>"CHECK"</formula>
    </cfRule>
    <cfRule type="cellIs" priority="16" operator="equal" aboveAverage="0" equalAverage="0" bottom="0" percent="0" rank="0" text="" dxfId="8">
      <formula>"OK"</formula>
    </cfRule>
  </conditionalFormatting>
  <dataValidations count="1">
    <dataValidation allowBlank="false" error="Choose one of the twelve signs." errorStyle="stop" errorTitle="Sign" operator="between" showDropDown="false" showErrorMessage="true" showInputMessage="false" sqref="B5:B12" type="list">
      <formula1>Workings!$C$3:$N$3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15" min="3" style="0" width="8"/>
    <col collapsed="false" customWidth="true" hidden="false" outlineLevel="0" max="20" min="17" style="0" width="11"/>
  </cols>
  <sheetData>
    <row r="1" customFormat="false" ht="16.15" hidden="false" customHeight="false" outlineLevel="0" collapsed="false">
      <c r="A1" s="10" t="s">
        <v>38</v>
      </c>
    </row>
    <row r="2" customFormat="false" ht="15" hidden="false" customHeight="false" outlineLevel="0" collapsed="false">
      <c r="A2" s="0" t="s">
        <v>39</v>
      </c>
    </row>
    <row r="3" customFormat="false" ht="15" hidden="false" customHeight="false" outlineLevel="0" collapsed="false">
      <c r="A3" s="9" t="s">
        <v>40</v>
      </c>
    </row>
    <row r="4" customFormat="false" ht="15" hidden="false" customHeight="false" outlineLevel="0" collapsed="false">
      <c r="A4" s="2" t="s">
        <v>41</v>
      </c>
      <c r="B4" s="2" t="s">
        <v>2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Q4" s="2" t="s">
        <v>55</v>
      </c>
      <c r="R4" s="2" t="s">
        <v>28</v>
      </c>
      <c r="S4" s="2" t="s">
        <v>56</v>
      </c>
      <c r="T4" s="2" t="s">
        <v>29</v>
      </c>
    </row>
    <row r="5" customFormat="false" ht="15" hidden="false" customHeight="false" outlineLevel="0" collapsed="false">
      <c r="A5" s="11" t="s">
        <v>5</v>
      </c>
      <c r="B5" s="5" t="s">
        <v>5</v>
      </c>
      <c r="C5" s="5" t="n">
        <v>1</v>
      </c>
      <c r="D5" s="5" t="n">
        <v>1</v>
      </c>
      <c r="E5" s="5" t="n">
        <v>0</v>
      </c>
      <c r="F5" s="5" t="n">
        <v>1</v>
      </c>
      <c r="G5" s="5" t="n">
        <v>0</v>
      </c>
      <c r="H5" s="5" t="n">
        <v>0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0</v>
      </c>
      <c r="O5" s="5" t="n">
        <f aca="false">SUM(C5:N5)</f>
        <v>8</v>
      </c>
      <c r="Q5" s="11" t="s">
        <v>5</v>
      </c>
      <c r="R5" s="5" t="n">
        <v>48</v>
      </c>
      <c r="S5" s="5" t="n">
        <f aca="false">SUMIF($A$5:$A$60,Q5,$O$5:$O$60)</f>
        <v>48</v>
      </c>
      <c r="T5" s="5" t="str">
        <f aca="false">IF(S5=R5,"OK","CHECK")</f>
        <v>OK</v>
      </c>
    </row>
    <row r="6" customFormat="false" ht="15" hidden="false" customHeight="false" outlineLevel="0" collapsed="false">
      <c r="A6" s="11" t="s">
        <v>5</v>
      </c>
      <c r="B6" s="5" t="s">
        <v>7</v>
      </c>
      <c r="C6" s="5" t="n">
        <v>0</v>
      </c>
      <c r="D6" s="5" t="n">
        <v>0</v>
      </c>
      <c r="E6" s="5" t="n">
        <v>1</v>
      </c>
      <c r="F6" s="5" t="n">
        <v>0</v>
      </c>
      <c r="G6" s="5" t="n">
        <v>0</v>
      </c>
      <c r="H6" s="5" t="n">
        <v>1</v>
      </c>
      <c r="I6" s="5" t="n">
        <v>0</v>
      </c>
      <c r="J6" s="5" t="n">
        <v>0</v>
      </c>
      <c r="K6" s="5" t="n">
        <v>0</v>
      </c>
      <c r="L6" s="5" t="n">
        <v>1</v>
      </c>
      <c r="M6" s="5" t="n">
        <v>1</v>
      </c>
      <c r="N6" s="5" t="n">
        <v>0</v>
      </c>
      <c r="O6" s="5" t="n">
        <f aca="false">SUM(C6:N6)</f>
        <v>4</v>
      </c>
      <c r="Q6" s="11" t="s">
        <v>7</v>
      </c>
      <c r="R6" s="5" t="n">
        <v>49</v>
      </c>
      <c r="S6" s="5" t="n">
        <f aca="false">SUMIF($A$5:$A$60,Q6,$O$5:$O$60)</f>
        <v>49</v>
      </c>
      <c r="T6" s="5" t="str">
        <f aca="false">IF(S6=R6,"OK","CHECK")</f>
        <v>OK</v>
      </c>
    </row>
    <row r="7" customFormat="false" ht="15" hidden="false" customHeight="false" outlineLevel="0" collapsed="false">
      <c r="A7" s="11" t="s">
        <v>5</v>
      </c>
      <c r="B7" s="5" t="s">
        <v>9</v>
      </c>
      <c r="C7" s="5" t="n">
        <v>1</v>
      </c>
      <c r="D7" s="5" t="n">
        <v>1</v>
      </c>
      <c r="E7" s="5" t="n">
        <v>0</v>
      </c>
      <c r="F7" s="5" t="n">
        <v>1</v>
      </c>
      <c r="G7" s="5" t="n">
        <v>0</v>
      </c>
      <c r="H7" s="5" t="n">
        <v>0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0</v>
      </c>
      <c r="O7" s="5" t="n">
        <f aca="false">SUM(C7:N7)</f>
        <v>8</v>
      </c>
      <c r="Q7" s="11" t="s">
        <v>9</v>
      </c>
      <c r="R7" s="5" t="n">
        <v>39</v>
      </c>
      <c r="S7" s="5" t="n">
        <f aca="false">SUMIF($A$5:$A$60,Q7,$O$5:$O$60)</f>
        <v>39</v>
      </c>
      <c r="T7" s="5" t="str">
        <f aca="false">IF(S7=R7,"OK","CHECK")</f>
        <v>OK</v>
      </c>
    </row>
    <row r="8" customFormat="false" ht="15" hidden="false" customHeight="false" outlineLevel="0" collapsed="false">
      <c r="A8" s="11" t="s">
        <v>5</v>
      </c>
      <c r="B8" s="5" t="s">
        <v>11</v>
      </c>
      <c r="C8" s="5" t="n">
        <v>0</v>
      </c>
      <c r="D8" s="5" t="n">
        <v>0</v>
      </c>
      <c r="E8" s="5" t="n">
        <v>1</v>
      </c>
      <c r="F8" s="5" t="n">
        <v>0</v>
      </c>
      <c r="G8" s="5" t="n">
        <v>1</v>
      </c>
      <c r="H8" s="5" t="n">
        <v>1</v>
      </c>
      <c r="I8" s="5" t="n">
        <v>0</v>
      </c>
      <c r="J8" s="5" t="n">
        <v>0</v>
      </c>
      <c r="K8" s="5" t="n">
        <v>1</v>
      </c>
      <c r="L8" s="5" t="n">
        <v>1</v>
      </c>
      <c r="M8" s="5" t="n">
        <v>1</v>
      </c>
      <c r="N8" s="5" t="n">
        <v>1</v>
      </c>
      <c r="O8" s="5" t="n">
        <f aca="false">SUM(C8:N8)</f>
        <v>7</v>
      </c>
      <c r="Q8" s="11" t="s">
        <v>11</v>
      </c>
      <c r="R8" s="5" t="n">
        <v>54</v>
      </c>
      <c r="S8" s="5" t="n">
        <f aca="false">SUMIF($A$5:$A$60,Q8,$O$5:$O$60)</f>
        <v>54</v>
      </c>
      <c r="T8" s="5" t="str">
        <f aca="false">IF(S8=R8,"OK","CHECK")</f>
        <v>OK</v>
      </c>
    </row>
    <row r="9" customFormat="false" ht="15" hidden="false" customHeight="false" outlineLevel="0" collapsed="false">
      <c r="A9" s="11" t="s">
        <v>5</v>
      </c>
      <c r="B9" s="5" t="s">
        <v>13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1</v>
      </c>
      <c r="H9" s="5" t="n">
        <v>1</v>
      </c>
      <c r="I9" s="5" t="n">
        <v>0</v>
      </c>
      <c r="J9" s="5" t="n">
        <v>0</v>
      </c>
      <c r="K9" s="5" t="n">
        <v>1</v>
      </c>
      <c r="L9" s="5" t="n">
        <v>0</v>
      </c>
      <c r="M9" s="5" t="n">
        <v>1</v>
      </c>
      <c r="N9" s="5" t="n">
        <v>0</v>
      </c>
      <c r="O9" s="5" t="n">
        <f aca="false">SUM(C9:N9)</f>
        <v>4</v>
      </c>
      <c r="Q9" s="11" t="s">
        <v>13</v>
      </c>
      <c r="R9" s="5" t="n">
        <v>56</v>
      </c>
      <c r="S9" s="5" t="n">
        <f aca="false">SUMIF($A$5:$A$60,Q9,$O$5:$O$60)</f>
        <v>56</v>
      </c>
      <c r="T9" s="5" t="str">
        <f aca="false">IF(S9=R9,"OK","CHECK")</f>
        <v>OK</v>
      </c>
    </row>
    <row r="10" customFormat="false" ht="15" hidden="false" customHeight="false" outlineLevel="0" collapsed="false">
      <c r="A10" s="11" t="s">
        <v>5</v>
      </c>
      <c r="B10" s="5" t="s">
        <v>15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1</v>
      </c>
      <c r="I10" s="5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1</v>
      </c>
      <c r="O10" s="5" t="n">
        <f aca="false">SUM(C10:N10)</f>
        <v>3</v>
      </c>
      <c r="Q10" s="11" t="s">
        <v>15</v>
      </c>
      <c r="R10" s="5" t="n">
        <v>52</v>
      </c>
      <c r="S10" s="5" t="n">
        <f aca="false">SUMIF($A$5:$A$60,Q10,$O$5:$O$60)</f>
        <v>52</v>
      </c>
      <c r="T10" s="5" t="str">
        <f aca="false">IF(S10=R10,"OK","CHECK")</f>
        <v>OK</v>
      </c>
    </row>
    <row r="11" customFormat="false" ht="15" hidden="false" customHeight="false" outlineLevel="0" collapsed="false">
      <c r="A11" s="11" t="s">
        <v>5</v>
      </c>
      <c r="B11" s="5" t="s">
        <v>17</v>
      </c>
      <c r="C11" s="5" t="n">
        <v>1</v>
      </c>
      <c r="D11" s="5" t="n">
        <v>1</v>
      </c>
      <c r="E11" s="5" t="n">
        <v>0</v>
      </c>
      <c r="F11" s="5" t="n">
        <v>1</v>
      </c>
      <c r="G11" s="5" t="n">
        <v>0</v>
      </c>
      <c r="H11" s="5" t="n">
        <v>0</v>
      </c>
      <c r="I11" s="5" t="n">
        <v>1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0</v>
      </c>
      <c r="O11" s="5" t="n">
        <f aca="false">SUM(C11:N11)</f>
        <v>8</v>
      </c>
      <c r="Q11" s="11" t="s">
        <v>17</v>
      </c>
      <c r="R11" s="5" t="n">
        <v>39</v>
      </c>
      <c r="S11" s="5" t="n">
        <f aca="false">SUMIF($A$5:$A$60,Q11,$O$5:$O$60)</f>
        <v>39</v>
      </c>
      <c r="T11" s="5" t="str">
        <f aca="false">IF(S11=R11,"OK","CHECK")</f>
        <v>OK</v>
      </c>
    </row>
    <row r="12" customFormat="false" ht="15" hidden="false" customHeight="false" outlineLevel="0" collapsed="false">
      <c r="A12" s="11" t="s">
        <v>5</v>
      </c>
      <c r="B12" s="5" t="s">
        <v>19</v>
      </c>
      <c r="C12" s="5" t="n">
        <v>0</v>
      </c>
      <c r="D12" s="5" t="n">
        <v>0</v>
      </c>
      <c r="E12" s="5" t="n">
        <v>1</v>
      </c>
      <c r="F12" s="5" t="n">
        <v>1</v>
      </c>
      <c r="G12" s="5" t="n">
        <v>0</v>
      </c>
      <c r="H12" s="5" t="n">
        <v>1</v>
      </c>
      <c r="I12" s="5" t="n">
        <v>0</v>
      </c>
      <c r="J12" s="5" t="n">
        <v>0</v>
      </c>
      <c r="K12" s="5" t="n">
        <v>0</v>
      </c>
      <c r="L12" s="5" t="n">
        <v>1</v>
      </c>
      <c r="M12" s="5" t="n">
        <v>1</v>
      </c>
      <c r="N12" s="5" t="n">
        <v>1</v>
      </c>
      <c r="O12" s="5" t="n">
        <f aca="false">SUM(C12:N12)</f>
        <v>6</v>
      </c>
      <c r="Q12" s="11" t="s">
        <v>57</v>
      </c>
      <c r="R12" s="5" t="n">
        <f aca="false">SUM(R5:R11)</f>
        <v>337</v>
      </c>
      <c r="S12" s="5" t="n">
        <f aca="false">SUM(S5:S11)</f>
        <v>337</v>
      </c>
      <c r="T12" s="5" t="str">
        <f aca="false">IF(S12=R12,"OK","CHECK")</f>
        <v>OK</v>
      </c>
    </row>
    <row r="13" customFormat="false" ht="15" hidden="false" customHeight="false" outlineLevel="0" collapsed="false">
      <c r="A13" s="11" t="s">
        <v>7</v>
      </c>
      <c r="B13" s="5" t="s">
        <v>5</v>
      </c>
      <c r="C13" s="5" t="n">
        <v>0</v>
      </c>
      <c r="D13" s="5" t="n">
        <v>0</v>
      </c>
      <c r="E13" s="5" t="n">
        <v>1</v>
      </c>
      <c r="F13" s="5" t="n">
        <v>0</v>
      </c>
      <c r="G13" s="5" t="n">
        <v>0</v>
      </c>
      <c r="H13" s="5" t="n">
        <v>1</v>
      </c>
      <c r="I13" s="5" t="n">
        <v>1</v>
      </c>
      <c r="J13" s="5" t="n">
        <v>1</v>
      </c>
      <c r="K13" s="5" t="n">
        <v>0</v>
      </c>
      <c r="L13" s="5" t="n">
        <v>1</v>
      </c>
      <c r="M13" s="5" t="n">
        <v>1</v>
      </c>
      <c r="N13" s="5" t="n">
        <v>0</v>
      </c>
      <c r="O13" s="5" t="n">
        <f aca="false">SUM(C13:N13)</f>
        <v>6</v>
      </c>
    </row>
    <row r="14" customFormat="false" ht="15" hidden="false" customHeight="false" outlineLevel="0" collapsed="false">
      <c r="A14" s="11" t="s">
        <v>7</v>
      </c>
      <c r="B14" s="5" t="s">
        <v>7</v>
      </c>
      <c r="C14" s="5" t="n">
        <v>1</v>
      </c>
      <c r="D14" s="5" t="n">
        <v>0</v>
      </c>
      <c r="E14" s="5" t="n">
        <v>1</v>
      </c>
      <c r="F14" s="5" t="n">
        <v>0</v>
      </c>
      <c r="G14" s="5" t="n">
        <v>0</v>
      </c>
      <c r="H14" s="5" t="n">
        <v>1</v>
      </c>
      <c r="I14" s="5" t="n">
        <v>1</v>
      </c>
      <c r="J14" s="5" t="n">
        <v>0</v>
      </c>
      <c r="K14" s="5" t="n">
        <v>1</v>
      </c>
      <c r="L14" s="5" t="n">
        <v>1</v>
      </c>
      <c r="M14" s="5" t="n">
        <v>1</v>
      </c>
      <c r="N14" s="5" t="n">
        <v>0</v>
      </c>
      <c r="O14" s="5" t="n">
        <f aca="false">SUM(C14:N14)</f>
        <v>7</v>
      </c>
    </row>
    <row r="15" customFormat="false" ht="15" hidden="false" customHeight="false" outlineLevel="0" collapsed="false">
      <c r="A15" s="11" t="s">
        <v>7</v>
      </c>
      <c r="B15" s="5" t="s">
        <v>9</v>
      </c>
      <c r="C15" s="5" t="n">
        <v>0</v>
      </c>
      <c r="D15" s="5" t="n">
        <v>1</v>
      </c>
      <c r="E15" s="5" t="n">
        <v>1</v>
      </c>
      <c r="F15" s="5" t="n">
        <v>0</v>
      </c>
      <c r="G15" s="5" t="n">
        <v>1</v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1</v>
      </c>
      <c r="N15" s="5" t="n">
        <v>0</v>
      </c>
      <c r="O15" s="5" t="n">
        <f aca="false">SUM(C15:N15)</f>
        <v>6</v>
      </c>
    </row>
    <row r="16" customFormat="false" ht="15" hidden="false" customHeight="false" outlineLevel="0" collapsed="false">
      <c r="A16" s="11" t="s">
        <v>7</v>
      </c>
      <c r="B16" s="5" t="s">
        <v>11</v>
      </c>
      <c r="C16" s="5" t="n">
        <v>1</v>
      </c>
      <c r="D16" s="5" t="n">
        <v>0</v>
      </c>
      <c r="E16" s="5" t="n">
        <v>1</v>
      </c>
      <c r="F16" s="5" t="n">
        <v>1</v>
      </c>
      <c r="G16" s="5" t="n">
        <v>1</v>
      </c>
      <c r="H16" s="5" t="n">
        <v>0</v>
      </c>
      <c r="I16" s="5" t="n">
        <v>1</v>
      </c>
      <c r="J16" s="5" t="n">
        <v>1</v>
      </c>
      <c r="K16" s="5" t="n">
        <v>0</v>
      </c>
      <c r="L16" s="5" t="n">
        <v>1</v>
      </c>
      <c r="M16" s="5" t="n">
        <v>1</v>
      </c>
      <c r="N16" s="5" t="n">
        <v>0</v>
      </c>
      <c r="O16" s="5" t="n">
        <f aca="false">SUM(C16:N16)</f>
        <v>8</v>
      </c>
    </row>
    <row r="17" customFormat="false" ht="15" hidden="false" customHeight="false" outlineLevel="0" collapsed="false">
      <c r="A17" s="11" t="s">
        <v>7</v>
      </c>
      <c r="B17" s="5" t="s">
        <v>13</v>
      </c>
      <c r="C17" s="5" t="n">
        <v>1</v>
      </c>
      <c r="D17" s="5" t="n">
        <v>1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1</v>
      </c>
      <c r="J17" s="5" t="n">
        <v>1</v>
      </c>
      <c r="K17" s="5" t="n">
        <v>0</v>
      </c>
      <c r="L17" s="5" t="n">
        <v>1</v>
      </c>
      <c r="M17" s="5" t="n">
        <v>1</v>
      </c>
      <c r="N17" s="5" t="n">
        <v>0</v>
      </c>
      <c r="O17" s="5" t="n">
        <f aca="false">SUM(C17:N17)</f>
        <v>7</v>
      </c>
    </row>
    <row r="18" customFormat="false" ht="15" hidden="false" customHeight="false" outlineLevel="0" collapsed="false">
      <c r="A18" s="11" t="s">
        <v>7</v>
      </c>
      <c r="B18" s="5" t="s">
        <v>15</v>
      </c>
      <c r="C18" s="5" t="n">
        <v>0</v>
      </c>
      <c r="D18" s="5" t="n">
        <v>0</v>
      </c>
      <c r="E18" s="5" t="n">
        <v>1</v>
      </c>
      <c r="F18" s="5" t="n">
        <v>1</v>
      </c>
      <c r="G18" s="5" t="n">
        <v>1</v>
      </c>
      <c r="H18" s="5" t="n">
        <v>0</v>
      </c>
      <c r="I18" s="5" t="n">
        <v>1</v>
      </c>
      <c r="J18" s="5" t="n">
        <v>0</v>
      </c>
      <c r="K18" s="5" t="n">
        <v>1</v>
      </c>
      <c r="L18" s="5" t="n">
        <v>1</v>
      </c>
      <c r="M18" s="5" t="n">
        <v>1</v>
      </c>
      <c r="N18" s="5" t="n">
        <v>0</v>
      </c>
      <c r="O18" s="5" t="n">
        <f aca="false">SUM(C18:N18)</f>
        <v>7</v>
      </c>
    </row>
    <row r="19" customFormat="false" ht="15" hidden="false" customHeight="false" outlineLevel="0" collapsed="false">
      <c r="A19" s="11" t="s">
        <v>7</v>
      </c>
      <c r="B19" s="5" t="s">
        <v>17</v>
      </c>
      <c r="C19" s="5" t="n">
        <v>0</v>
      </c>
      <c r="D19" s="5" t="n">
        <v>0</v>
      </c>
      <c r="E19" s="5" t="n">
        <v>1</v>
      </c>
      <c r="F19" s="5" t="n">
        <v>0</v>
      </c>
      <c r="G19" s="5" t="n">
        <v>1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f aca="false">SUM(C19:N19)</f>
        <v>4</v>
      </c>
    </row>
    <row r="20" customFormat="false" ht="15" hidden="false" customHeight="false" outlineLevel="0" collapsed="false">
      <c r="A20" s="11" t="s">
        <v>7</v>
      </c>
      <c r="B20" s="5" t="s">
        <v>19</v>
      </c>
      <c r="C20" s="5" t="n">
        <v>0</v>
      </c>
      <c r="D20" s="5" t="n">
        <v>0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f aca="false">SUM(C20:N20)</f>
        <v>4</v>
      </c>
    </row>
    <row r="21" customFormat="false" ht="15" hidden="false" customHeight="false" outlineLevel="0" collapsed="false">
      <c r="A21" s="11" t="s">
        <v>9</v>
      </c>
      <c r="B21" s="5" t="s">
        <v>5</v>
      </c>
      <c r="C21" s="5" t="n">
        <v>0</v>
      </c>
      <c r="D21" s="5" t="n">
        <v>0</v>
      </c>
      <c r="E21" s="5" t="n">
        <v>1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1</v>
      </c>
      <c r="N21" s="5" t="n">
        <v>0</v>
      </c>
      <c r="O21" s="5" t="n">
        <f aca="false">SUM(C21:N21)</f>
        <v>5</v>
      </c>
    </row>
    <row r="22" customFormat="false" ht="15" hidden="false" customHeight="false" outlineLevel="0" collapsed="false">
      <c r="A22" s="11" t="s">
        <v>9</v>
      </c>
      <c r="B22" s="5" t="s">
        <v>7</v>
      </c>
      <c r="C22" s="5" t="n">
        <v>0</v>
      </c>
      <c r="D22" s="5" t="n">
        <v>0</v>
      </c>
      <c r="E22" s="5" t="n">
        <v>1</v>
      </c>
      <c r="F22" s="5" t="n">
        <v>0</v>
      </c>
      <c r="G22" s="5" t="n">
        <v>0</v>
      </c>
      <c r="H22" s="5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f aca="false">SUM(C22:N22)</f>
        <v>3</v>
      </c>
    </row>
    <row r="23" customFormat="false" ht="15" hidden="false" customHeight="false" outlineLevel="0" collapsed="false">
      <c r="A23" s="11" t="s">
        <v>9</v>
      </c>
      <c r="B23" s="5" t="s">
        <v>9</v>
      </c>
      <c r="C23" s="5" t="n">
        <v>1</v>
      </c>
      <c r="D23" s="5" t="n">
        <v>1</v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1</v>
      </c>
      <c r="J23" s="5" t="n">
        <v>1</v>
      </c>
      <c r="K23" s="5" t="n">
        <v>0</v>
      </c>
      <c r="L23" s="5" t="n">
        <v>1</v>
      </c>
      <c r="M23" s="5" t="n">
        <v>1</v>
      </c>
      <c r="N23" s="5" t="n">
        <v>0</v>
      </c>
      <c r="O23" s="5" t="n">
        <f aca="false">SUM(C23:N23)</f>
        <v>7</v>
      </c>
    </row>
    <row r="24" customFormat="false" ht="15" hidden="false" customHeight="false" outlineLevel="0" collapsed="false">
      <c r="A24" s="11" t="s">
        <v>9</v>
      </c>
      <c r="B24" s="5" t="s">
        <v>11</v>
      </c>
      <c r="C24" s="5" t="n">
        <v>0</v>
      </c>
      <c r="D24" s="5" t="n">
        <v>0</v>
      </c>
      <c r="E24" s="5" t="n">
        <v>1</v>
      </c>
      <c r="F24" s="5" t="n">
        <v>0</v>
      </c>
      <c r="G24" s="5" t="n">
        <v>1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f aca="false">SUM(C24:N24)</f>
        <v>4</v>
      </c>
    </row>
    <row r="25" customFormat="false" ht="15" hidden="false" customHeight="false" outlineLevel="0" collapsed="false">
      <c r="A25" s="11" t="s">
        <v>9</v>
      </c>
      <c r="B25" s="5" t="s">
        <v>13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1</v>
      </c>
      <c r="O25" s="5" t="n">
        <f aca="false">SUM(C25:N25)</f>
        <v>4</v>
      </c>
    </row>
    <row r="26" customFormat="false" ht="15" hidden="false" customHeight="false" outlineLevel="0" collapsed="false">
      <c r="A26" s="11" t="s">
        <v>9</v>
      </c>
      <c r="B26" s="5" t="s">
        <v>15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1</v>
      </c>
      <c r="K26" s="5" t="n">
        <v>0</v>
      </c>
      <c r="L26" s="5" t="n">
        <v>0</v>
      </c>
      <c r="M26" s="5" t="n">
        <v>1</v>
      </c>
      <c r="N26" s="5" t="n">
        <v>1</v>
      </c>
      <c r="O26" s="5" t="n">
        <f aca="false">SUM(C26:N26)</f>
        <v>4</v>
      </c>
    </row>
    <row r="27" customFormat="false" ht="15" hidden="false" customHeight="false" outlineLevel="0" collapsed="false">
      <c r="A27" s="11" t="s">
        <v>9</v>
      </c>
      <c r="B27" s="5" t="s">
        <v>17</v>
      </c>
      <c r="C27" s="5" t="n">
        <v>1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1</v>
      </c>
      <c r="J27" s="5" t="n">
        <v>1</v>
      </c>
      <c r="K27" s="5" t="n">
        <v>1</v>
      </c>
      <c r="L27" s="5" t="n">
        <v>1</v>
      </c>
      <c r="M27" s="5" t="n">
        <v>1</v>
      </c>
      <c r="N27" s="5" t="n">
        <v>0</v>
      </c>
      <c r="O27" s="5" t="n">
        <f aca="false">SUM(C27:N27)</f>
        <v>7</v>
      </c>
    </row>
    <row r="28" customFormat="false" ht="15" hidden="false" customHeight="false" outlineLevel="0" collapsed="false">
      <c r="A28" s="11" t="s">
        <v>9</v>
      </c>
      <c r="B28" s="5" t="s">
        <v>19</v>
      </c>
      <c r="C28" s="5" t="n">
        <v>1</v>
      </c>
      <c r="D28" s="5" t="n">
        <v>0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0</v>
      </c>
      <c r="O28" s="5" t="n">
        <f aca="false">SUM(C28:N28)</f>
        <v>5</v>
      </c>
    </row>
    <row r="29" customFormat="false" ht="15" hidden="false" customHeight="false" outlineLevel="0" collapsed="false">
      <c r="A29" s="11" t="s">
        <v>11</v>
      </c>
      <c r="B29" s="5" t="s">
        <v>5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1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1</v>
      </c>
      <c r="N29" s="5" t="n">
        <v>1</v>
      </c>
      <c r="O29" s="5" t="n">
        <f aca="false">SUM(C29:N29)</f>
        <v>5</v>
      </c>
    </row>
    <row r="30" customFormat="false" ht="15" hidden="false" customHeight="false" outlineLevel="0" collapsed="false">
      <c r="A30" s="11" t="s">
        <v>11</v>
      </c>
      <c r="B30" s="5" t="s">
        <v>7</v>
      </c>
      <c r="C30" s="5" t="n">
        <v>0</v>
      </c>
      <c r="D30" s="5" t="n">
        <v>1</v>
      </c>
      <c r="E30" s="5" t="n">
        <v>0</v>
      </c>
      <c r="F30" s="5" t="n">
        <v>1</v>
      </c>
      <c r="G30" s="5" t="n">
        <v>0</v>
      </c>
      <c r="H30" s="5" t="n">
        <v>1</v>
      </c>
      <c r="I30" s="5" t="n">
        <v>0</v>
      </c>
      <c r="J30" s="5" t="n">
        <v>1</v>
      </c>
      <c r="K30" s="5" t="n">
        <v>0</v>
      </c>
      <c r="L30" s="5" t="n">
        <v>1</v>
      </c>
      <c r="M30" s="5" t="n">
        <v>1</v>
      </c>
      <c r="N30" s="5" t="n">
        <v>0</v>
      </c>
      <c r="O30" s="5" t="n">
        <f aca="false">SUM(C30:N30)</f>
        <v>6</v>
      </c>
    </row>
    <row r="31" customFormat="false" ht="15" hidden="false" customHeight="false" outlineLevel="0" collapsed="false">
      <c r="A31" s="11" t="s">
        <v>11</v>
      </c>
      <c r="B31" s="5" t="s">
        <v>9</v>
      </c>
      <c r="C31" s="5" t="n">
        <v>1</v>
      </c>
      <c r="D31" s="5" t="n">
        <v>1</v>
      </c>
      <c r="E31" s="5" t="n">
        <v>0</v>
      </c>
      <c r="F31" s="5" t="n">
        <v>1</v>
      </c>
      <c r="G31" s="5" t="n">
        <v>0</v>
      </c>
      <c r="H31" s="5" t="n">
        <v>0</v>
      </c>
      <c r="I31" s="5" t="n">
        <v>1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0</v>
      </c>
      <c r="O31" s="5" t="n">
        <f aca="false">SUM(C31:N31)</f>
        <v>8</v>
      </c>
    </row>
    <row r="32" customFormat="false" ht="15" hidden="false" customHeight="false" outlineLevel="0" collapsed="false">
      <c r="A32" s="11" t="s">
        <v>11</v>
      </c>
      <c r="B32" s="5" t="s">
        <v>11</v>
      </c>
      <c r="C32" s="5" t="n">
        <v>1</v>
      </c>
      <c r="D32" s="5" t="n">
        <v>0</v>
      </c>
      <c r="E32" s="5" t="n">
        <v>1</v>
      </c>
      <c r="F32" s="5" t="n">
        <v>0</v>
      </c>
      <c r="G32" s="5" t="n">
        <v>1</v>
      </c>
      <c r="H32" s="5" t="n">
        <v>1</v>
      </c>
      <c r="I32" s="5" t="n">
        <v>0</v>
      </c>
      <c r="J32" s="5" t="n">
        <v>0</v>
      </c>
      <c r="K32" s="5" t="n">
        <v>1</v>
      </c>
      <c r="L32" s="5" t="n">
        <v>1</v>
      </c>
      <c r="M32" s="5" t="n">
        <v>1</v>
      </c>
      <c r="N32" s="5" t="n">
        <v>1</v>
      </c>
      <c r="O32" s="5" t="n">
        <f aca="false">SUM(C32:N32)</f>
        <v>8</v>
      </c>
    </row>
    <row r="33" customFormat="false" ht="15" hidden="false" customHeight="false" outlineLevel="0" collapsed="false">
      <c r="A33" s="11" t="s">
        <v>11</v>
      </c>
      <c r="B33" s="5" t="s">
        <v>13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1</v>
      </c>
      <c r="I33" s="5" t="n">
        <v>0</v>
      </c>
      <c r="J33" s="5" t="n">
        <v>1</v>
      </c>
      <c r="K33" s="5" t="n">
        <v>0</v>
      </c>
      <c r="L33" s="5" t="n">
        <v>0</v>
      </c>
      <c r="M33" s="5" t="n">
        <v>1</v>
      </c>
      <c r="N33" s="5" t="n">
        <v>1</v>
      </c>
      <c r="O33" s="5" t="n">
        <f aca="false">SUM(C33:N33)</f>
        <v>4</v>
      </c>
    </row>
    <row r="34" customFormat="false" ht="15" hidden="false" customHeight="false" outlineLevel="0" collapsed="false">
      <c r="A34" s="11" t="s">
        <v>11</v>
      </c>
      <c r="B34" s="5" t="s">
        <v>15</v>
      </c>
      <c r="C34" s="5" t="n">
        <v>1</v>
      </c>
      <c r="D34" s="5" t="n">
        <v>1</v>
      </c>
      <c r="E34" s="5" t="n">
        <v>1</v>
      </c>
      <c r="F34" s="5" t="n">
        <v>1</v>
      </c>
      <c r="G34" s="5" t="n">
        <v>1</v>
      </c>
      <c r="H34" s="5" t="n">
        <v>0</v>
      </c>
      <c r="I34" s="5" t="n">
        <v>0</v>
      </c>
      <c r="J34" s="5" t="n">
        <v>1</v>
      </c>
      <c r="K34" s="5" t="n">
        <v>1</v>
      </c>
      <c r="L34" s="5" t="n">
        <v>0</v>
      </c>
      <c r="M34" s="5" t="n">
        <v>1</v>
      </c>
      <c r="N34" s="5" t="n">
        <v>0</v>
      </c>
      <c r="O34" s="5" t="n">
        <f aca="false">SUM(C34:N34)</f>
        <v>8</v>
      </c>
    </row>
    <row r="35" customFormat="false" ht="15" hidden="false" customHeight="false" outlineLevel="0" collapsed="false">
      <c r="A35" s="11" t="s">
        <v>11</v>
      </c>
      <c r="B35" s="5" t="s">
        <v>17</v>
      </c>
      <c r="C35" s="5" t="n">
        <v>1</v>
      </c>
      <c r="D35" s="5" t="n">
        <v>1</v>
      </c>
      <c r="E35" s="5" t="n">
        <v>0</v>
      </c>
      <c r="F35" s="5" t="n">
        <v>1</v>
      </c>
      <c r="G35" s="5" t="n">
        <v>0</v>
      </c>
      <c r="H35" s="5" t="n">
        <v>0</v>
      </c>
      <c r="I35" s="5" t="n">
        <v>1</v>
      </c>
      <c r="J35" s="5" t="n">
        <v>1</v>
      </c>
      <c r="K35" s="5" t="n">
        <v>1</v>
      </c>
      <c r="L35" s="5" t="n">
        <v>1</v>
      </c>
      <c r="M35" s="5" t="n">
        <v>1</v>
      </c>
      <c r="N35" s="5" t="n">
        <v>0</v>
      </c>
      <c r="O35" s="5" t="n">
        <f aca="false">SUM(C35:N35)</f>
        <v>8</v>
      </c>
    </row>
    <row r="36" customFormat="false" ht="15" hidden="false" customHeight="false" outlineLevel="0" collapsed="false">
      <c r="A36" s="11" t="s">
        <v>11</v>
      </c>
      <c r="B36" s="5" t="s">
        <v>19</v>
      </c>
      <c r="C36" s="5" t="n">
        <v>1</v>
      </c>
      <c r="D36" s="5" t="n">
        <v>1</v>
      </c>
      <c r="E36" s="5" t="n">
        <v>0</v>
      </c>
      <c r="F36" s="5" t="n">
        <v>1</v>
      </c>
      <c r="G36" s="5" t="n">
        <v>0</v>
      </c>
      <c r="H36" s="5" t="n">
        <v>1</v>
      </c>
      <c r="I36" s="5" t="n">
        <v>0</v>
      </c>
      <c r="J36" s="5" t="n">
        <v>1</v>
      </c>
      <c r="K36" s="5" t="n">
        <v>0</v>
      </c>
      <c r="L36" s="5" t="n">
        <v>1</v>
      </c>
      <c r="M36" s="5" t="n">
        <v>1</v>
      </c>
      <c r="N36" s="5" t="n">
        <v>0</v>
      </c>
      <c r="O36" s="5" t="n">
        <f aca="false">SUM(C36:N36)</f>
        <v>7</v>
      </c>
    </row>
    <row r="37" customFormat="false" ht="15" hidden="false" customHeight="false" outlineLevel="0" collapsed="false">
      <c r="A37" s="11" t="s">
        <v>13</v>
      </c>
      <c r="B37" s="5" t="s">
        <v>5</v>
      </c>
      <c r="C37" s="5" t="n">
        <v>1</v>
      </c>
      <c r="D37" s="5" t="n">
        <v>1</v>
      </c>
      <c r="E37" s="5" t="n">
        <v>1</v>
      </c>
      <c r="F37" s="5" t="n">
        <v>1</v>
      </c>
      <c r="G37" s="5" t="n">
        <v>0</v>
      </c>
      <c r="H37" s="5" t="n">
        <v>0</v>
      </c>
      <c r="I37" s="5" t="n">
        <v>1</v>
      </c>
      <c r="J37" s="5" t="n">
        <v>1</v>
      </c>
      <c r="K37" s="5" t="n">
        <v>1</v>
      </c>
      <c r="L37" s="5" t="n">
        <v>1</v>
      </c>
      <c r="M37" s="5" t="n">
        <v>1</v>
      </c>
      <c r="N37" s="5" t="n">
        <v>0</v>
      </c>
      <c r="O37" s="5" t="n">
        <f aca="false">SUM(C37:N37)</f>
        <v>9</v>
      </c>
    </row>
    <row r="38" customFormat="false" ht="15" hidden="false" customHeight="false" outlineLevel="0" collapsed="false">
      <c r="A38" s="11" t="s">
        <v>13</v>
      </c>
      <c r="B38" s="5" t="s">
        <v>7</v>
      </c>
      <c r="C38" s="5" t="n">
        <v>0</v>
      </c>
      <c r="D38" s="5" t="n">
        <v>1</v>
      </c>
      <c r="E38" s="5" t="n">
        <v>0</v>
      </c>
      <c r="F38" s="5" t="n">
        <v>0</v>
      </c>
      <c r="G38" s="5" t="n">
        <v>1</v>
      </c>
      <c r="H38" s="5" t="n">
        <v>0</v>
      </c>
      <c r="I38" s="5" t="n">
        <v>1</v>
      </c>
      <c r="J38" s="5" t="n">
        <v>0</v>
      </c>
      <c r="K38" s="5" t="n">
        <v>1</v>
      </c>
      <c r="L38" s="5" t="n">
        <v>0</v>
      </c>
      <c r="M38" s="5" t="n">
        <v>1</v>
      </c>
      <c r="N38" s="5" t="n">
        <v>0</v>
      </c>
      <c r="O38" s="5" t="n">
        <f aca="false">SUM(C38:N38)</f>
        <v>5</v>
      </c>
    </row>
    <row r="39" customFormat="false" ht="15" hidden="false" customHeight="false" outlineLevel="0" collapsed="false">
      <c r="A39" s="11" t="s">
        <v>13</v>
      </c>
      <c r="B39" s="5" t="s">
        <v>9</v>
      </c>
      <c r="C39" s="5" t="n">
        <v>1</v>
      </c>
      <c r="D39" s="5" t="n">
        <v>1</v>
      </c>
      <c r="E39" s="5" t="n">
        <v>0</v>
      </c>
      <c r="F39" s="5" t="n">
        <v>1</v>
      </c>
      <c r="G39" s="5" t="n">
        <v>0</v>
      </c>
      <c r="H39" s="5" t="n">
        <v>0</v>
      </c>
      <c r="I39" s="5" t="n">
        <v>1</v>
      </c>
      <c r="J39" s="5" t="n">
        <v>1</v>
      </c>
      <c r="K39" s="5" t="n">
        <v>0</v>
      </c>
      <c r="L39" s="5" t="n">
        <v>1</v>
      </c>
      <c r="M39" s="5" t="n">
        <v>1</v>
      </c>
      <c r="N39" s="5" t="n">
        <v>0</v>
      </c>
      <c r="O39" s="5" t="n">
        <f aca="false">SUM(C39:N39)</f>
        <v>7</v>
      </c>
    </row>
    <row r="40" customFormat="false" ht="15" hidden="false" customHeight="false" outlineLevel="0" collapsed="false">
      <c r="A40" s="11" t="s">
        <v>13</v>
      </c>
      <c r="B40" s="5" t="s">
        <v>11</v>
      </c>
      <c r="C40" s="5" t="n">
        <v>1</v>
      </c>
      <c r="D40" s="5" t="n">
        <v>1</v>
      </c>
      <c r="E40" s="5" t="n">
        <v>0</v>
      </c>
      <c r="F40" s="5" t="n">
        <v>1</v>
      </c>
      <c r="G40" s="5" t="n">
        <v>1</v>
      </c>
      <c r="H40" s="5" t="n">
        <v>1</v>
      </c>
      <c r="I40" s="5" t="n">
        <v>0</v>
      </c>
      <c r="J40" s="5" t="n">
        <v>0</v>
      </c>
      <c r="K40" s="5" t="n">
        <v>1</v>
      </c>
      <c r="L40" s="5" t="n">
        <v>1</v>
      </c>
      <c r="M40" s="5" t="n">
        <v>1</v>
      </c>
      <c r="N40" s="5" t="n">
        <v>0</v>
      </c>
      <c r="O40" s="5" t="n">
        <f aca="false">SUM(C40:N40)</f>
        <v>8</v>
      </c>
    </row>
    <row r="41" customFormat="false" ht="15" hidden="false" customHeight="false" outlineLevel="0" collapsed="false">
      <c r="A41" s="11" t="s">
        <v>13</v>
      </c>
      <c r="B41" s="5" t="s">
        <v>13</v>
      </c>
      <c r="C41" s="5" t="n">
        <v>1</v>
      </c>
      <c r="D41" s="5" t="n">
        <v>1</v>
      </c>
      <c r="E41" s="5" t="n">
        <v>1</v>
      </c>
      <c r="F41" s="5" t="n">
        <v>1</v>
      </c>
      <c r="G41" s="5" t="n">
        <v>0</v>
      </c>
      <c r="H41" s="5" t="n">
        <v>0</v>
      </c>
      <c r="I41" s="5" t="n">
        <v>1</v>
      </c>
      <c r="J41" s="5" t="n">
        <v>1</v>
      </c>
      <c r="K41" s="5" t="n">
        <v>0</v>
      </c>
      <c r="L41" s="5" t="n">
        <v>1</v>
      </c>
      <c r="M41" s="5" t="n">
        <v>1</v>
      </c>
      <c r="N41" s="5" t="n">
        <v>0</v>
      </c>
      <c r="O41" s="5" t="n">
        <f aca="false">SUM(C41:N41)</f>
        <v>8</v>
      </c>
    </row>
    <row r="42" customFormat="false" ht="15" hidden="false" customHeight="false" outlineLevel="0" collapsed="false">
      <c r="A42" s="11" t="s">
        <v>13</v>
      </c>
      <c r="B42" s="5" t="s">
        <v>15</v>
      </c>
      <c r="C42" s="5" t="n">
        <v>0</v>
      </c>
      <c r="D42" s="5" t="n">
        <v>1</v>
      </c>
      <c r="E42" s="5" t="n">
        <v>0</v>
      </c>
      <c r="F42" s="5" t="n">
        <v>0</v>
      </c>
      <c r="G42" s="5" t="n">
        <v>1</v>
      </c>
      <c r="H42" s="5" t="n">
        <v>1</v>
      </c>
      <c r="I42" s="5" t="n">
        <v>0</v>
      </c>
      <c r="J42" s="5" t="n">
        <v>0</v>
      </c>
      <c r="K42" s="5" t="n">
        <v>1</v>
      </c>
      <c r="L42" s="5" t="n">
        <v>1</v>
      </c>
      <c r="M42" s="5" t="n">
        <v>1</v>
      </c>
      <c r="N42" s="5" t="n">
        <v>0</v>
      </c>
      <c r="O42" s="5" t="n">
        <f aca="false">SUM(C42:N42)</f>
        <v>6</v>
      </c>
    </row>
    <row r="43" customFormat="false" ht="15" hidden="false" customHeight="false" outlineLevel="0" collapsed="false">
      <c r="A43" s="11" t="s">
        <v>13</v>
      </c>
      <c r="B43" s="5" t="s">
        <v>17</v>
      </c>
      <c r="C43" s="5" t="n">
        <v>0</v>
      </c>
      <c r="D43" s="5" t="n">
        <v>0</v>
      </c>
      <c r="E43" s="5" t="n">
        <v>1</v>
      </c>
      <c r="F43" s="5" t="n">
        <v>0</v>
      </c>
      <c r="G43" s="5" t="n">
        <v>1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1</v>
      </c>
      <c r="O43" s="5" t="n">
        <f aca="false">SUM(C43:N43)</f>
        <v>4</v>
      </c>
    </row>
    <row r="44" customFormat="false" ht="15" hidden="false" customHeight="false" outlineLevel="0" collapsed="false">
      <c r="A44" s="11" t="s">
        <v>13</v>
      </c>
      <c r="B44" s="5" t="s">
        <v>19</v>
      </c>
      <c r="C44" s="5" t="n">
        <v>1</v>
      </c>
      <c r="D44" s="5" t="n">
        <v>1</v>
      </c>
      <c r="E44" s="5" t="n">
        <v>0</v>
      </c>
      <c r="F44" s="5" t="n">
        <v>1</v>
      </c>
      <c r="G44" s="5" t="n">
        <v>1</v>
      </c>
      <c r="H44" s="5" t="n">
        <v>1</v>
      </c>
      <c r="I44" s="5" t="n">
        <v>1</v>
      </c>
      <c r="J44" s="5" t="n">
        <v>0</v>
      </c>
      <c r="K44" s="5" t="n">
        <v>1</v>
      </c>
      <c r="L44" s="5" t="n">
        <v>1</v>
      </c>
      <c r="M44" s="5" t="n">
        <v>1</v>
      </c>
      <c r="N44" s="5" t="n">
        <v>0</v>
      </c>
      <c r="O44" s="5" t="n">
        <f aca="false">SUM(C44:N44)</f>
        <v>9</v>
      </c>
    </row>
    <row r="45" customFormat="false" ht="15" hidden="false" customHeight="false" outlineLevel="0" collapsed="false">
      <c r="A45" s="11" t="s">
        <v>15</v>
      </c>
      <c r="B45" s="5" t="s">
        <v>5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1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f aca="false">SUM(C45:N45)</f>
        <v>3</v>
      </c>
    </row>
    <row r="46" customFormat="false" ht="15" hidden="false" customHeight="false" outlineLevel="0" collapsed="false">
      <c r="A46" s="11" t="s">
        <v>15</v>
      </c>
      <c r="B46" s="5" t="s">
        <v>7</v>
      </c>
      <c r="C46" s="5" t="n">
        <v>1</v>
      </c>
      <c r="D46" s="5" t="n">
        <v>1</v>
      </c>
      <c r="E46" s="5" t="n">
        <v>1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1</v>
      </c>
      <c r="K46" s="5" t="n">
        <v>1</v>
      </c>
      <c r="L46" s="5" t="n">
        <v>0</v>
      </c>
      <c r="M46" s="5" t="n">
        <v>1</v>
      </c>
      <c r="N46" s="5" t="n">
        <v>1</v>
      </c>
      <c r="O46" s="5" t="n">
        <f aca="false">SUM(C46:N46)</f>
        <v>9</v>
      </c>
    </row>
    <row r="47" customFormat="false" ht="15" hidden="false" customHeight="false" outlineLevel="0" collapsed="false">
      <c r="A47" s="11" t="s">
        <v>15</v>
      </c>
      <c r="B47" s="5" t="s">
        <v>9</v>
      </c>
      <c r="C47" s="5" t="n">
        <v>0</v>
      </c>
      <c r="D47" s="5" t="n">
        <v>0</v>
      </c>
      <c r="E47" s="5" t="n">
        <v>1</v>
      </c>
      <c r="F47" s="5" t="n">
        <v>1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1</v>
      </c>
      <c r="N47" s="5" t="n">
        <v>1</v>
      </c>
      <c r="O47" s="5" t="n">
        <f aca="false">SUM(C47:N47)</f>
        <v>6</v>
      </c>
    </row>
    <row r="48" customFormat="false" ht="15" hidden="false" customHeight="false" outlineLevel="0" collapsed="false">
      <c r="A48" s="11" t="s">
        <v>15</v>
      </c>
      <c r="B48" s="5" t="s">
        <v>11</v>
      </c>
      <c r="C48" s="5" t="n">
        <v>0</v>
      </c>
      <c r="D48" s="5" t="n">
        <v>0</v>
      </c>
      <c r="E48" s="5" t="n">
        <v>1</v>
      </c>
      <c r="F48" s="5" t="n">
        <v>0</v>
      </c>
      <c r="G48" s="5" t="n">
        <v>1</v>
      </c>
      <c r="H48" s="5" t="n">
        <v>1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1</v>
      </c>
      <c r="N48" s="5" t="n">
        <v>0</v>
      </c>
      <c r="O48" s="5" t="n">
        <f aca="false">SUM(C48:N48)</f>
        <v>5</v>
      </c>
    </row>
    <row r="49" customFormat="false" ht="15" hidden="false" customHeight="false" outlineLevel="0" collapsed="false">
      <c r="A49" s="11" t="s">
        <v>15</v>
      </c>
      <c r="B49" s="5" t="s">
        <v>13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1</v>
      </c>
      <c r="K49" s="5" t="n">
        <v>1</v>
      </c>
      <c r="L49" s="5" t="n">
        <v>1</v>
      </c>
      <c r="M49" s="5" t="n">
        <v>1</v>
      </c>
      <c r="N49" s="5" t="n">
        <v>0</v>
      </c>
      <c r="O49" s="5" t="n">
        <f aca="false">SUM(C49:N49)</f>
        <v>5</v>
      </c>
    </row>
    <row r="50" customFormat="false" ht="15" hidden="false" customHeight="false" outlineLevel="0" collapsed="false">
      <c r="A50" s="11" t="s">
        <v>15</v>
      </c>
      <c r="B50" s="5" t="s">
        <v>15</v>
      </c>
      <c r="C50" s="5" t="n">
        <v>1</v>
      </c>
      <c r="D50" s="5" t="n">
        <v>1</v>
      </c>
      <c r="E50" s="5" t="n">
        <v>1</v>
      </c>
      <c r="F50" s="5" t="n">
        <v>1</v>
      </c>
      <c r="G50" s="5" t="n">
        <v>1</v>
      </c>
      <c r="H50" s="5" t="n">
        <v>0</v>
      </c>
      <c r="I50" s="5" t="n">
        <v>0</v>
      </c>
      <c r="J50" s="5" t="n">
        <v>1</v>
      </c>
      <c r="K50" s="5" t="n">
        <v>1</v>
      </c>
      <c r="L50" s="5" t="n">
        <v>1</v>
      </c>
      <c r="M50" s="5" t="n">
        <v>1</v>
      </c>
      <c r="N50" s="5" t="n">
        <v>0</v>
      </c>
      <c r="O50" s="5" t="n">
        <f aca="false">SUM(C50:N50)</f>
        <v>9</v>
      </c>
    </row>
    <row r="51" customFormat="false" ht="15" hidden="false" customHeight="false" outlineLevel="0" collapsed="false">
      <c r="A51" s="11" t="s">
        <v>15</v>
      </c>
      <c r="B51" s="5" t="s">
        <v>17</v>
      </c>
      <c r="C51" s="5" t="n">
        <v>0</v>
      </c>
      <c r="D51" s="5" t="n">
        <v>0</v>
      </c>
      <c r="E51" s="5" t="n">
        <v>1</v>
      </c>
      <c r="F51" s="5" t="n">
        <v>1</v>
      </c>
      <c r="G51" s="5" t="n">
        <v>1</v>
      </c>
      <c r="H51" s="5" t="n">
        <v>0</v>
      </c>
      <c r="I51" s="5" t="n">
        <v>0</v>
      </c>
      <c r="J51" s="5" t="n">
        <v>1</v>
      </c>
      <c r="K51" s="5" t="n">
        <v>1</v>
      </c>
      <c r="L51" s="5" t="n">
        <v>1</v>
      </c>
      <c r="M51" s="5" t="n">
        <v>1</v>
      </c>
      <c r="N51" s="5" t="n">
        <v>0</v>
      </c>
      <c r="O51" s="5" t="n">
        <f aca="false">SUM(C51:N51)</f>
        <v>7</v>
      </c>
    </row>
    <row r="52" customFormat="false" ht="15" hidden="false" customHeight="false" outlineLevel="0" collapsed="false">
      <c r="A52" s="11" t="s">
        <v>15</v>
      </c>
      <c r="B52" s="5" t="s">
        <v>19</v>
      </c>
      <c r="C52" s="5" t="n">
        <v>1</v>
      </c>
      <c r="D52" s="5" t="n">
        <v>1</v>
      </c>
      <c r="E52" s="5" t="n">
        <v>1</v>
      </c>
      <c r="F52" s="5" t="n">
        <v>1</v>
      </c>
      <c r="G52" s="5" t="n">
        <v>1</v>
      </c>
      <c r="H52" s="5" t="n">
        <v>0</v>
      </c>
      <c r="I52" s="5" t="n">
        <v>0</v>
      </c>
      <c r="J52" s="5" t="n">
        <v>1</v>
      </c>
      <c r="K52" s="5" t="n">
        <v>1</v>
      </c>
      <c r="L52" s="5" t="n">
        <v>0</v>
      </c>
      <c r="M52" s="5" t="n">
        <v>1</v>
      </c>
      <c r="N52" s="5" t="n">
        <v>0</v>
      </c>
      <c r="O52" s="5" t="n">
        <f aca="false">SUM(C52:N52)</f>
        <v>8</v>
      </c>
    </row>
    <row r="53" customFormat="false" ht="15" hidden="false" customHeight="false" outlineLevel="0" collapsed="false">
      <c r="A53" s="11" t="s">
        <v>17</v>
      </c>
      <c r="B53" s="5" t="s">
        <v>5</v>
      </c>
      <c r="C53" s="5" t="n">
        <v>1</v>
      </c>
      <c r="D53" s="5" t="n">
        <v>1</v>
      </c>
      <c r="E53" s="5" t="n">
        <v>0</v>
      </c>
      <c r="F53" s="5" t="n">
        <v>1</v>
      </c>
      <c r="G53" s="5" t="n">
        <v>0</v>
      </c>
      <c r="H53" s="5" t="n">
        <v>0</v>
      </c>
      <c r="I53" s="5" t="n">
        <v>1</v>
      </c>
      <c r="J53" s="5" t="n">
        <v>1</v>
      </c>
      <c r="K53" s="5" t="n">
        <v>0</v>
      </c>
      <c r="L53" s="5" t="n">
        <v>1</v>
      </c>
      <c r="M53" s="5" t="n">
        <v>1</v>
      </c>
      <c r="N53" s="5" t="n">
        <v>0</v>
      </c>
      <c r="O53" s="5" t="n">
        <f aca="false">SUM(C53:N53)</f>
        <v>7</v>
      </c>
    </row>
    <row r="54" customFormat="false" ht="15" hidden="false" customHeight="false" outlineLevel="0" collapsed="false">
      <c r="A54" s="11" t="s">
        <v>17</v>
      </c>
      <c r="B54" s="5" t="s">
        <v>7</v>
      </c>
      <c r="C54" s="5" t="n">
        <v>0</v>
      </c>
      <c r="D54" s="5" t="n">
        <v>0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f aca="false">SUM(C54:N54)</f>
        <v>3</v>
      </c>
    </row>
    <row r="55" customFormat="false" ht="15" hidden="false" customHeight="false" outlineLevel="0" collapsed="false">
      <c r="A55" s="11" t="s">
        <v>17</v>
      </c>
      <c r="B55" s="5" t="s">
        <v>9</v>
      </c>
      <c r="C55" s="5" t="n">
        <v>0</v>
      </c>
      <c r="D55" s="5" t="n">
        <v>0</v>
      </c>
      <c r="E55" s="5" t="n">
        <v>1</v>
      </c>
      <c r="F55" s="5" t="n">
        <v>0</v>
      </c>
      <c r="G55" s="5" t="n">
        <v>1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1</v>
      </c>
      <c r="N55" s="5" t="n">
        <v>1</v>
      </c>
      <c r="O55" s="5" t="n">
        <f aca="false">SUM(C55:N55)</f>
        <v>6</v>
      </c>
    </row>
    <row r="56" customFormat="false" ht="15" hidden="false" customHeight="false" outlineLevel="0" collapsed="false">
      <c r="A56" s="11" t="s">
        <v>17</v>
      </c>
      <c r="B56" s="5" t="s">
        <v>11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1</v>
      </c>
      <c r="K56" s="5" t="n">
        <v>1</v>
      </c>
      <c r="L56" s="5" t="n">
        <v>1</v>
      </c>
      <c r="M56" s="5" t="n">
        <v>1</v>
      </c>
      <c r="N56" s="5" t="n">
        <v>1</v>
      </c>
      <c r="O56" s="5" t="n">
        <f aca="false">SUM(C56:N56)</f>
        <v>6</v>
      </c>
    </row>
    <row r="57" customFormat="false" ht="15" hidden="false" customHeight="false" outlineLevel="0" collapsed="false">
      <c r="A57" s="11" t="s">
        <v>17</v>
      </c>
      <c r="B57" s="5" t="s">
        <v>13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1</v>
      </c>
      <c r="H57" s="5" t="n">
        <v>1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1</v>
      </c>
      <c r="O57" s="5" t="n">
        <f aca="false">SUM(C57:N57)</f>
        <v>4</v>
      </c>
    </row>
    <row r="58" customFormat="false" ht="15" hidden="false" customHeight="false" outlineLevel="0" collapsed="false">
      <c r="A58" s="11" t="s">
        <v>17</v>
      </c>
      <c r="B58" s="5" t="s">
        <v>15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f aca="false">SUM(C58:N58)</f>
        <v>3</v>
      </c>
    </row>
    <row r="59" customFormat="false" ht="15" hidden="false" customHeight="false" outlineLevel="0" collapsed="false">
      <c r="A59" s="11" t="s">
        <v>17</v>
      </c>
      <c r="B59" s="5" t="s">
        <v>17</v>
      </c>
      <c r="C59" s="5" t="n">
        <v>0</v>
      </c>
      <c r="D59" s="5" t="n">
        <v>0</v>
      </c>
      <c r="E59" s="5" t="n">
        <v>1</v>
      </c>
      <c r="F59" s="5" t="n">
        <v>0</v>
      </c>
      <c r="G59" s="5" t="n">
        <v>1</v>
      </c>
      <c r="H59" s="5" t="n">
        <v>1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1</v>
      </c>
      <c r="N59" s="5" t="n">
        <v>0</v>
      </c>
      <c r="O59" s="5" t="n">
        <f aca="false">SUM(C59:N59)</f>
        <v>4</v>
      </c>
    </row>
    <row r="60" customFormat="false" ht="15" hidden="false" customHeight="false" outlineLevel="0" collapsed="false">
      <c r="A60" s="11" t="s">
        <v>17</v>
      </c>
      <c r="B60" s="5" t="s">
        <v>19</v>
      </c>
      <c r="C60" s="5" t="n">
        <v>1</v>
      </c>
      <c r="D60" s="5" t="n">
        <v>0</v>
      </c>
      <c r="E60" s="5" t="n">
        <v>1</v>
      </c>
      <c r="F60" s="5" t="n">
        <v>1</v>
      </c>
      <c r="G60" s="5" t="n">
        <v>0</v>
      </c>
      <c r="H60" s="5" t="n">
        <v>1</v>
      </c>
      <c r="I60" s="5" t="n">
        <v>0</v>
      </c>
      <c r="J60" s="5" t="n">
        <v>0</v>
      </c>
      <c r="K60" s="5" t="n">
        <v>0</v>
      </c>
      <c r="L60" s="5" t="n">
        <v>1</v>
      </c>
      <c r="M60" s="5" t="n">
        <v>1</v>
      </c>
      <c r="N60" s="5" t="n">
        <v>0</v>
      </c>
      <c r="O60" s="5" t="n">
        <f aca="false">SUM(C60:N60)</f>
        <v>6</v>
      </c>
    </row>
  </sheetData>
  <conditionalFormatting sqref="C5:N60">
    <cfRule type="cellIs" priority="2" operator="equal" aboveAverage="0" equalAverage="0" bottom="0" percent="0" rank="0" text="" dxfId="3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15" min="3" style="0" width="11"/>
  </cols>
  <sheetData>
    <row r="1" customFormat="false" ht="16.15" hidden="false" customHeight="false" outlineLevel="0" collapsed="false">
      <c r="A1" s="10" t="s">
        <v>58</v>
      </c>
    </row>
    <row r="3" customFormat="false" ht="15" hidden="false" customHeight="false" outlineLevel="0" collapsed="false">
      <c r="A3" s="12" t="s">
        <v>31</v>
      </c>
      <c r="C3" s="13" t="s">
        <v>12</v>
      </c>
      <c r="D3" s="13" t="s">
        <v>6</v>
      </c>
      <c r="E3" s="13" t="s">
        <v>14</v>
      </c>
      <c r="F3" s="13" t="s">
        <v>22</v>
      </c>
      <c r="G3" s="13" t="s">
        <v>23</v>
      </c>
      <c r="H3" s="13" t="s">
        <v>24</v>
      </c>
      <c r="I3" s="13" t="s">
        <v>25</v>
      </c>
      <c r="J3" s="13" t="s">
        <v>26</v>
      </c>
      <c r="K3" s="13" t="s">
        <v>8</v>
      </c>
      <c r="L3" s="13" t="s">
        <v>18</v>
      </c>
      <c r="M3" s="13" t="s">
        <v>10</v>
      </c>
      <c r="N3" s="13" t="s">
        <v>16</v>
      </c>
    </row>
    <row r="4" customFormat="false" ht="15" hidden="false" customHeight="false" outlineLevel="0" collapsed="false">
      <c r="A4" s="12" t="s">
        <v>59</v>
      </c>
      <c r="C4" s="14" t="n">
        <v>0</v>
      </c>
      <c r="D4" s="14" t="n">
        <v>1</v>
      </c>
      <c r="E4" s="14" t="n">
        <v>2</v>
      </c>
      <c r="F4" s="14" t="n">
        <v>3</v>
      </c>
      <c r="G4" s="14" t="n">
        <v>4</v>
      </c>
      <c r="H4" s="14" t="n">
        <v>5</v>
      </c>
      <c r="I4" s="14" t="n">
        <v>6</v>
      </c>
      <c r="J4" s="14" t="n">
        <v>7</v>
      </c>
      <c r="K4" s="14" t="n">
        <v>8</v>
      </c>
      <c r="L4" s="14" t="n">
        <v>9</v>
      </c>
      <c r="M4" s="14" t="n">
        <v>10</v>
      </c>
      <c r="N4" s="14" t="n">
        <v>11</v>
      </c>
    </row>
    <row r="6" customFormat="false" ht="15" hidden="false" customHeight="false" outlineLevel="0" collapsed="false">
      <c r="A6" s="6" t="s">
        <v>60</v>
      </c>
      <c r="B6" s="12" t="s">
        <v>61</v>
      </c>
      <c r="O6" s="12" t="s">
        <v>62</v>
      </c>
    </row>
    <row r="7" customFormat="false" ht="15" hidden="false" customHeight="false" outlineLevel="0" collapsed="false">
      <c r="A7" s="11" t="s">
        <v>5</v>
      </c>
      <c r="B7" s="5" t="n">
        <f aca="false">Ashtakavarga!$C$5</f>
        <v>1</v>
      </c>
      <c r="C7" s="5" t="n">
        <f aca="false">INDEX(Rules!$C$5:$N$5,MOD(C$4-$B7,12)+1)</f>
        <v>0</v>
      </c>
      <c r="D7" s="5" t="n">
        <f aca="false">INDEX(Rules!$C$5:$N$5,MOD(D$4-$B7,12)+1)</f>
        <v>1</v>
      </c>
      <c r="E7" s="5" t="n">
        <f aca="false">INDEX(Rules!$C$5:$N$5,MOD(E$4-$B7,12)+1)</f>
        <v>1</v>
      </c>
      <c r="F7" s="5" t="n">
        <f aca="false">INDEX(Rules!$C$5:$N$5,MOD(F$4-$B7,12)+1)</f>
        <v>0</v>
      </c>
      <c r="G7" s="5" t="n">
        <f aca="false">INDEX(Rules!$C$5:$N$5,MOD(G$4-$B7,12)+1)</f>
        <v>1</v>
      </c>
      <c r="H7" s="5" t="n">
        <f aca="false">INDEX(Rules!$C$5:$N$5,MOD(H$4-$B7,12)+1)</f>
        <v>0</v>
      </c>
      <c r="I7" s="5" t="n">
        <f aca="false">INDEX(Rules!$C$5:$N$5,MOD(I$4-$B7,12)+1)</f>
        <v>0</v>
      </c>
      <c r="J7" s="5" t="n">
        <f aca="false">INDEX(Rules!$C$5:$N$5,MOD(J$4-$B7,12)+1)</f>
        <v>1</v>
      </c>
      <c r="K7" s="5" t="n">
        <f aca="false">INDEX(Rules!$C$5:$N$5,MOD(K$4-$B7,12)+1)</f>
        <v>1</v>
      </c>
      <c r="L7" s="5" t="n">
        <f aca="false">INDEX(Rules!$C$5:$N$5,MOD(L$4-$B7,12)+1)</f>
        <v>1</v>
      </c>
      <c r="M7" s="5" t="n">
        <f aca="false">INDEX(Rules!$C$5:$N$5,MOD(M$4-$B7,12)+1)</f>
        <v>1</v>
      </c>
      <c r="N7" s="5" t="n">
        <f aca="false">INDEX(Rules!$C$5:$N$5,MOD(N$4-$B7,12)+1)</f>
        <v>1</v>
      </c>
      <c r="O7" s="5" t="n">
        <f aca="false">SUM(C7:N7)</f>
        <v>8</v>
      </c>
    </row>
    <row r="8" customFormat="false" ht="15" hidden="false" customHeight="false" outlineLevel="0" collapsed="false">
      <c r="A8" s="11" t="s">
        <v>7</v>
      </c>
      <c r="B8" s="5" t="n">
        <f aca="false">Ashtakavarga!$C$6</f>
        <v>8</v>
      </c>
      <c r="C8" s="5" t="n">
        <f aca="false">INDEX(Rules!$C$6:$N$6,MOD(C$4-$B8,12)+1)</f>
        <v>0</v>
      </c>
      <c r="D8" s="5" t="n">
        <f aca="false">INDEX(Rules!$C$6:$N$6,MOD(D$4-$B8,12)+1)</f>
        <v>1</v>
      </c>
      <c r="E8" s="5" t="n">
        <f aca="false">INDEX(Rules!$C$6:$N$6,MOD(E$4-$B8,12)+1)</f>
        <v>0</v>
      </c>
      <c r="F8" s="5" t="n">
        <f aca="false">INDEX(Rules!$C$6:$N$6,MOD(F$4-$B8,12)+1)</f>
        <v>0</v>
      </c>
      <c r="G8" s="5" t="n">
        <f aca="false">INDEX(Rules!$C$6:$N$6,MOD(G$4-$B8,12)+1)</f>
        <v>0</v>
      </c>
      <c r="H8" s="5" t="n">
        <f aca="false">INDEX(Rules!$C$6:$N$6,MOD(H$4-$B8,12)+1)</f>
        <v>1</v>
      </c>
      <c r="I8" s="5" t="n">
        <f aca="false">INDEX(Rules!$C$6:$N$6,MOD(I$4-$B8,12)+1)</f>
        <v>1</v>
      </c>
      <c r="J8" s="5" t="n">
        <f aca="false">INDEX(Rules!$C$6:$N$6,MOD(J$4-$B8,12)+1)</f>
        <v>0</v>
      </c>
      <c r="K8" s="5" t="n">
        <f aca="false">INDEX(Rules!$C$6:$N$6,MOD(K$4-$B8,12)+1)</f>
        <v>0</v>
      </c>
      <c r="L8" s="5" t="n">
        <f aca="false">INDEX(Rules!$C$6:$N$6,MOD(L$4-$B8,12)+1)</f>
        <v>0</v>
      </c>
      <c r="M8" s="5" t="n">
        <f aca="false">INDEX(Rules!$C$6:$N$6,MOD(M$4-$B8,12)+1)</f>
        <v>1</v>
      </c>
      <c r="N8" s="5" t="n">
        <f aca="false">INDEX(Rules!$C$6:$N$6,MOD(N$4-$B8,12)+1)</f>
        <v>0</v>
      </c>
      <c r="O8" s="5" t="n">
        <f aca="false">SUM(C8:N8)</f>
        <v>4</v>
      </c>
    </row>
    <row r="9" customFormat="false" ht="15" hidden="false" customHeight="false" outlineLevel="0" collapsed="false">
      <c r="A9" s="11" t="s">
        <v>9</v>
      </c>
      <c r="B9" s="5" t="n">
        <f aca="false">Ashtakavarga!$C$7</f>
        <v>10</v>
      </c>
      <c r="C9" s="5" t="n">
        <f aca="false">INDEX(Rules!$C$7:$N$7,MOD(C$4-$B9,12)+1)</f>
        <v>0</v>
      </c>
      <c r="D9" s="5" t="n">
        <f aca="false">INDEX(Rules!$C$7:$N$7,MOD(D$4-$B9,12)+1)</f>
        <v>1</v>
      </c>
      <c r="E9" s="5" t="n">
        <f aca="false">INDEX(Rules!$C$7:$N$7,MOD(E$4-$B9,12)+1)</f>
        <v>0</v>
      </c>
      <c r="F9" s="5" t="n">
        <f aca="false">INDEX(Rules!$C$7:$N$7,MOD(F$4-$B9,12)+1)</f>
        <v>0</v>
      </c>
      <c r="G9" s="5" t="n">
        <f aca="false">INDEX(Rules!$C$7:$N$7,MOD(G$4-$B9,12)+1)</f>
        <v>1</v>
      </c>
      <c r="H9" s="5" t="n">
        <f aca="false">INDEX(Rules!$C$7:$N$7,MOD(H$4-$B9,12)+1)</f>
        <v>1</v>
      </c>
      <c r="I9" s="5" t="n">
        <f aca="false">INDEX(Rules!$C$7:$N$7,MOD(I$4-$B9,12)+1)</f>
        <v>1</v>
      </c>
      <c r="J9" s="5" t="n">
        <f aca="false">INDEX(Rules!$C$7:$N$7,MOD(J$4-$B9,12)+1)</f>
        <v>1</v>
      </c>
      <c r="K9" s="5" t="n">
        <f aca="false">INDEX(Rules!$C$7:$N$7,MOD(K$4-$B9,12)+1)</f>
        <v>1</v>
      </c>
      <c r="L9" s="5" t="n">
        <f aca="false">INDEX(Rules!$C$7:$N$7,MOD(L$4-$B9,12)+1)</f>
        <v>0</v>
      </c>
      <c r="M9" s="5" t="n">
        <f aca="false">INDEX(Rules!$C$7:$N$7,MOD(M$4-$B9,12)+1)</f>
        <v>1</v>
      </c>
      <c r="N9" s="5" t="n">
        <f aca="false">INDEX(Rules!$C$7:$N$7,MOD(N$4-$B9,12)+1)</f>
        <v>1</v>
      </c>
      <c r="O9" s="5" t="n">
        <f aca="false">SUM(C9:N9)</f>
        <v>8</v>
      </c>
    </row>
    <row r="10" customFormat="false" ht="15" hidden="false" customHeight="false" outlineLevel="0" collapsed="false">
      <c r="A10" s="11" t="s">
        <v>11</v>
      </c>
      <c r="B10" s="5" t="n">
        <f aca="false">Ashtakavarga!$C$8</f>
        <v>0</v>
      </c>
      <c r="C10" s="5" t="n">
        <f aca="false">INDEX(Rules!$C$8:$N$8,MOD(C$4-$B10,12)+1)</f>
        <v>0</v>
      </c>
      <c r="D10" s="5" t="n">
        <f aca="false">INDEX(Rules!$C$8:$N$8,MOD(D$4-$B10,12)+1)</f>
        <v>0</v>
      </c>
      <c r="E10" s="5" t="n">
        <f aca="false">INDEX(Rules!$C$8:$N$8,MOD(E$4-$B10,12)+1)</f>
        <v>1</v>
      </c>
      <c r="F10" s="5" t="n">
        <f aca="false">INDEX(Rules!$C$8:$N$8,MOD(F$4-$B10,12)+1)</f>
        <v>0</v>
      </c>
      <c r="G10" s="5" t="n">
        <f aca="false">INDEX(Rules!$C$8:$N$8,MOD(G$4-$B10,12)+1)</f>
        <v>1</v>
      </c>
      <c r="H10" s="5" t="n">
        <f aca="false">INDEX(Rules!$C$8:$N$8,MOD(H$4-$B10,12)+1)</f>
        <v>1</v>
      </c>
      <c r="I10" s="5" t="n">
        <f aca="false">INDEX(Rules!$C$8:$N$8,MOD(I$4-$B10,12)+1)</f>
        <v>0</v>
      </c>
      <c r="J10" s="5" t="n">
        <f aca="false">INDEX(Rules!$C$8:$N$8,MOD(J$4-$B10,12)+1)</f>
        <v>0</v>
      </c>
      <c r="K10" s="5" t="n">
        <f aca="false">INDEX(Rules!$C$8:$N$8,MOD(K$4-$B10,12)+1)</f>
        <v>1</v>
      </c>
      <c r="L10" s="5" t="n">
        <f aca="false">INDEX(Rules!$C$8:$N$8,MOD(L$4-$B10,12)+1)</f>
        <v>1</v>
      </c>
      <c r="M10" s="5" t="n">
        <f aca="false">INDEX(Rules!$C$8:$N$8,MOD(M$4-$B10,12)+1)</f>
        <v>1</v>
      </c>
      <c r="N10" s="5" t="n">
        <f aca="false">INDEX(Rules!$C$8:$N$8,MOD(N$4-$B10,12)+1)</f>
        <v>1</v>
      </c>
      <c r="O10" s="5" t="n">
        <f aca="false">SUM(C10:N10)</f>
        <v>7</v>
      </c>
    </row>
    <row r="11" customFormat="false" ht="15" hidden="false" customHeight="false" outlineLevel="0" collapsed="false">
      <c r="A11" s="11" t="s">
        <v>13</v>
      </c>
      <c r="B11" s="5" t="n">
        <f aca="false">Ashtakavarga!$C$9</f>
        <v>2</v>
      </c>
      <c r="C11" s="5" t="n">
        <f aca="false">INDEX(Rules!$C$9:$N$9,MOD(C$4-$B11,12)+1)</f>
        <v>1</v>
      </c>
      <c r="D11" s="5" t="n">
        <f aca="false">INDEX(Rules!$C$9:$N$9,MOD(D$4-$B11,12)+1)</f>
        <v>0</v>
      </c>
      <c r="E11" s="5" t="n">
        <f aca="false">INDEX(Rules!$C$9:$N$9,MOD(E$4-$B11,12)+1)</f>
        <v>0</v>
      </c>
      <c r="F11" s="5" t="n">
        <f aca="false">INDEX(Rules!$C$9:$N$9,MOD(F$4-$B11,12)+1)</f>
        <v>0</v>
      </c>
      <c r="G11" s="5" t="n">
        <f aca="false">INDEX(Rules!$C$9:$N$9,MOD(G$4-$B11,12)+1)</f>
        <v>0</v>
      </c>
      <c r="H11" s="5" t="n">
        <f aca="false">INDEX(Rules!$C$9:$N$9,MOD(H$4-$B11,12)+1)</f>
        <v>0</v>
      </c>
      <c r="I11" s="5" t="n">
        <f aca="false">INDEX(Rules!$C$9:$N$9,MOD(I$4-$B11,12)+1)</f>
        <v>1</v>
      </c>
      <c r="J11" s="5" t="n">
        <f aca="false">INDEX(Rules!$C$9:$N$9,MOD(J$4-$B11,12)+1)</f>
        <v>1</v>
      </c>
      <c r="K11" s="5" t="n">
        <f aca="false">INDEX(Rules!$C$9:$N$9,MOD(K$4-$B11,12)+1)</f>
        <v>0</v>
      </c>
      <c r="L11" s="5" t="n">
        <f aca="false">INDEX(Rules!$C$9:$N$9,MOD(L$4-$B11,12)+1)</f>
        <v>0</v>
      </c>
      <c r="M11" s="5" t="n">
        <f aca="false">INDEX(Rules!$C$9:$N$9,MOD(M$4-$B11,12)+1)</f>
        <v>1</v>
      </c>
      <c r="N11" s="5" t="n">
        <f aca="false">INDEX(Rules!$C$9:$N$9,MOD(N$4-$B11,12)+1)</f>
        <v>0</v>
      </c>
      <c r="O11" s="5" t="n">
        <f aca="false">SUM(C11:N11)</f>
        <v>4</v>
      </c>
    </row>
    <row r="12" customFormat="false" ht="15" hidden="false" customHeight="false" outlineLevel="0" collapsed="false">
      <c r="A12" s="11" t="s">
        <v>15</v>
      </c>
      <c r="B12" s="5" t="n">
        <f aca="false">Ashtakavarga!$C$10</f>
        <v>11</v>
      </c>
      <c r="C12" s="5" t="n">
        <f aca="false">INDEX(Rules!$C$10:$N$10,MOD(C$4-$B12,12)+1)</f>
        <v>0</v>
      </c>
      <c r="D12" s="5" t="n">
        <f aca="false">INDEX(Rules!$C$10:$N$10,MOD(D$4-$B12,12)+1)</f>
        <v>0</v>
      </c>
      <c r="E12" s="5" t="n">
        <f aca="false">INDEX(Rules!$C$10:$N$10,MOD(E$4-$B12,12)+1)</f>
        <v>0</v>
      </c>
      <c r="F12" s="5" t="n">
        <f aca="false">INDEX(Rules!$C$10:$N$10,MOD(F$4-$B12,12)+1)</f>
        <v>0</v>
      </c>
      <c r="G12" s="5" t="n">
        <f aca="false">INDEX(Rules!$C$10:$N$10,MOD(G$4-$B12,12)+1)</f>
        <v>1</v>
      </c>
      <c r="H12" s="5" t="n">
        <f aca="false">INDEX(Rules!$C$10:$N$10,MOD(H$4-$B12,12)+1)</f>
        <v>1</v>
      </c>
      <c r="I12" s="5" t="n">
        <f aca="false">INDEX(Rules!$C$10:$N$10,MOD(I$4-$B12,12)+1)</f>
        <v>0</v>
      </c>
      <c r="J12" s="5" t="n">
        <f aca="false">INDEX(Rules!$C$10:$N$10,MOD(J$4-$B12,12)+1)</f>
        <v>0</v>
      </c>
      <c r="K12" s="5" t="n">
        <f aca="false">INDEX(Rules!$C$10:$N$10,MOD(K$4-$B12,12)+1)</f>
        <v>0</v>
      </c>
      <c r="L12" s="5" t="n">
        <f aca="false">INDEX(Rules!$C$10:$N$10,MOD(L$4-$B12,12)+1)</f>
        <v>0</v>
      </c>
      <c r="M12" s="5" t="n">
        <f aca="false">INDEX(Rules!$C$10:$N$10,MOD(M$4-$B12,12)+1)</f>
        <v>1</v>
      </c>
      <c r="N12" s="5" t="n">
        <f aca="false">INDEX(Rules!$C$10:$N$10,MOD(N$4-$B12,12)+1)</f>
        <v>0</v>
      </c>
      <c r="O12" s="5" t="n">
        <f aca="false">SUM(C12:N12)</f>
        <v>3</v>
      </c>
    </row>
    <row r="13" customFormat="false" ht="15" hidden="false" customHeight="false" outlineLevel="0" collapsed="false">
      <c r="A13" s="11" t="s">
        <v>17</v>
      </c>
      <c r="B13" s="5" t="n">
        <f aca="false">Ashtakavarga!$C$11</f>
        <v>9</v>
      </c>
      <c r="C13" s="5" t="n">
        <f aca="false">INDEX(Rules!$C$11:$N$11,MOD(C$4-$B13,12)+1)</f>
        <v>1</v>
      </c>
      <c r="D13" s="5" t="n">
        <f aca="false">INDEX(Rules!$C$11:$N$11,MOD(D$4-$B13,12)+1)</f>
        <v>0</v>
      </c>
      <c r="E13" s="5" t="n">
        <f aca="false">INDEX(Rules!$C$11:$N$11,MOD(E$4-$B13,12)+1)</f>
        <v>0</v>
      </c>
      <c r="F13" s="5" t="n">
        <f aca="false">INDEX(Rules!$C$11:$N$11,MOD(F$4-$B13,12)+1)</f>
        <v>1</v>
      </c>
      <c r="G13" s="5" t="n">
        <f aca="false">INDEX(Rules!$C$11:$N$11,MOD(G$4-$B13,12)+1)</f>
        <v>1</v>
      </c>
      <c r="H13" s="5" t="n">
        <f aca="false">INDEX(Rules!$C$11:$N$11,MOD(H$4-$B13,12)+1)</f>
        <v>1</v>
      </c>
      <c r="I13" s="5" t="n">
        <f aca="false">INDEX(Rules!$C$11:$N$11,MOD(I$4-$B13,12)+1)</f>
        <v>1</v>
      </c>
      <c r="J13" s="5" t="n">
        <f aca="false">INDEX(Rules!$C$11:$N$11,MOD(J$4-$B13,12)+1)</f>
        <v>1</v>
      </c>
      <c r="K13" s="5" t="n">
        <f aca="false">INDEX(Rules!$C$11:$N$11,MOD(K$4-$B13,12)+1)</f>
        <v>0</v>
      </c>
      <c r="L13" s="5" t="n">
        <f aca="false">INDEX(Rules!$C$11:$N$11,MOD(L$4-$B13,12)+1)</f>
        <v>1</v>
      </c>
      <c r="M13" s="5" t="n">
        <f aca="false">INDEX(Rules!$C$11:$N$11,MOD(M$4-$B13,12)+1)</f>
        <v>1</v>
      </c>
      <c r="N13" s="5" t="n">
        <f aca="false">INDEX(Rules!$C$11:$N$11,MOD(N$4-$B13,12)+1)</f>
        <v>0</v>
      </c>
      <c r="O13" s="5" t="n">
        <f aca="false">SUM(C13:N13)</f>
        <v>8</v>
      </c>
    </row>
    <row r="14" customFormat="false" ht="15" hidden="false" customHeight="false" outlineLevel="0" collapsed="false">
      <c r="A14" s="11" t="s">
        <v>19</v>
      </c>
      <c r="B14" s="5" t="n">
        <f aca="false">Ashtakavarga!$C$12</f>
        <v>1</v>
      </c>
      <c r="C14" s="5" t="n">
        <f aca="false">INDEX(Rules!$C$12:$N$12,MOD(C$4-$B14,12)+1)</f>
        <v>1</v>
      </c>
      <c r="D14" s="5" t="n">
        <f aca="false">INDEX(Rules!$C$12:$N$12,MOD(D$4-$B14,12)+1)</f>
        <v>0</v>
      </c>
      <c r="E14" s="5" t="n">
        <f aca="false">INDEX(Rules!$C$12:$N$12,MOD(E$4-$B14,12)+1)</f>
        <v>0</v>
      </c>
      <c r="F14" s="5" t="n">
        <f aca="false">INDEX(Rules!$C$12:$N$12,MOD(F$4-$B14,12)+1)</f>
        <v>1</v>
      </c>
      <c r="G14" s="5" t="n">
        <f aca="false">INDEX(Rules!$C$12:$N$12,MOD(G$4-$B14,12)+1)</f>
        <v>1</v>
      </c>
      <c r="H14" s="5" t="n">
        <f aca="false">INDEX(Rules!$C$12:$N$12,MOD(H$4-$B14,12)+1)</f>
        <v>0</v>
      </c>
      <c r="I14" s="5" t="n">
        <f aca="false">INDEX(Rules!$C$12:$N$12,MOD(I$4-$B14,12)+1)</f>
        <v>1</v>
      </c>
      <c r="J14" s="5" t="n">
        <f aca="false">INDEX(Rules!$C$12:$N$12,MOD(J$4-$B14,12)+1)</f>
        <v>0</v>
      </c>
      <c r="K14" s="5" t="n">
        <f aca="false">INDEX(Rules!$C$12:$N$12,MOD(K$4-$B14,12)+1)</f>
        <v>0</v>
      </c>
      <c r="L14" s="5" t="n">
        <f aca="false">INDEX(Rules!$C$12:$N$12,MOD(L$4-$B14,12)+1)</f>
        <v>0</v>
      </c>
      <c r="M14" s="5" t="n">
        <f aca="false">INDEX(Rules!$C$12:$N$12,MOD(M$4-$B14,12)+1)</f>
        <v>1</v>
      </c>
      <c r="N14" s="5" t="n">
        <f aca="false">INDEX(Rules!$C$12:$N$12,MOD(N$4-$B14,12)+1)</f>
        <v>1</v>
      </c>
      <c r="O14" s="5" t="n">
        <f aca="false">SUM(C14:N14)</f>
        <v>6</v>
      </c>
    </row>
    <row r="15" customFormat="false" ht="15" hidden="false" customHeight="false" outlineLevel="0" collapsed="false">
      <c r="A15" s="3" t="s">
        <v>63</v>
      </c>
      <c r="B15" s="5"/>
      <c r="C15" s="7" t="n">
        <f aca="false">SUM(C7:C14)</f>
        <v>3</v>
      </c>
      <c r="D15" s="7" t="n">
        <f aca="false">SUM(D7:D14)</f>
        <v>3</v>
      </c>
      <c r="E15" s="7" t="n">
        <f aca="false">SUM(E7:E14)</f>
        <v>2</v>
      </c>
      <c r="F15" s="7" t="n">
        <f aca="false">SUM(F7:F14)</f>
        <v>2</v>
      </c>
      <c r="G15" s="7" t="n">
        <f aca="false">SUM(G7:G14)</f>
        <v>6</v>
      </c>
      <c r="H15" s="7" t="n">
        <f aca="false">SUM(H7:H14)</f>
        <v>5</v>
      </c>
      <c r="I15" s="7" t="n">
        <f aca="false">SUM(I7:I14)</f>
        <v>5</v>
      </c>
      <c r="J15" s="7" t="n">
        <f aca="false">SUM(J7:J14)</f>
        <v>4</v>
      </c>
      <c r="K15" s="7" t="n">
        <f aca="false">SUM(K7:K14)</f>
        <v>3</v>
      </c>
      <c r="L15" s="7" t="n">
        <f aca="false">SUM(L7:L14)</f>
        <v>3</v>
      </c>
      <c r="M15" s="7" t="n">
        <f aca="false">SUM(M7:M14)</f>
        <v>8</v>
      </c>
      <c r="N15" s="7" t="n">
        <f aca="false">SUM(N7:N14)</f>
        <v>4</v>
      </c>
      <c r="O15" s="7" t="n">
        <f aca="false">SUM(C15:N15)</f>
        <v>48</v>
      </c>
    </row>
    <row r="18" customFormat="false" ht="15" hidden="false" customHeight="false" outlineLevel="0" collapsed="false">
      <c r="A18" s="6" t="s">
        <v>64</v>
      </c>
      <c r="B18" s="12" t="s">
        <v>61</v>
      </c>
      <c r="O18" s="12" t="s">
        <v>62</v>
      </c>
    </row>
    <row r="19" customFormat="false" ht="15" hidden="false" customHeight="false" outlineLevel="0" collapsed="false">
      <c r="A19" s="11" t="s">
        <v>5</v>
      </c>
      <c r="B19" s="5" t="n">
        <f aca="false">Ashtakavarga!$C$5</f>
        <v>1</v>
      </c>
      <c r="C19" s="5" t="n">
        <f aca="false">INDEX(Rules!$C$13:$N$13,MOD(C$4-$B19,12)+1)</f>
        <v>0</v>
      </c>
      <c r="D19" s="5" t="n">
        <f aca="false">INDEX(Rules!$C$13:$N$13,MOD(D$4-$B19,12)+1)</f>
        <v>0</v>
      </c>
      <c r="E19" s="5" t="n">
        <f aca="false">INDEX(Rules!$C$13:$N$13,MOD(E$4-$B19,12)+1)</f>
        <v>0</v>
      </c>
      <c r="F19" s="5" t="n">
        <f aca="false">INDEX(Rules!$C$13:$N$13,MOD(F$4-$B19,12)+1)</f>
        <v>1</v>
      </c>
      <c r="G19" s="5" t="n">
        <f aca="false">INDEX(Rules!$C$13:$N$13,MOD(G$4-$B19,12)+1)</f>
        <v>0</v>
      </c>
      <c r="H19" s="5" t="n">
        <f aca="false">INDEX(Rules!$C$13:$N$13,MOD(H$4-$B19,12)+1)</f>
        <v>0</v>
      </c>
      <c r="I19" s="5" t="n">
        <f aca="false">INDEX(Rules!$C$13:$N$13,MOD(I$4-$B19,12)+1)</f>
        <v>1</v>
      </c>
      <c r="J19" s="5" t="n">
        <f aca="false">INDEX(Rules!$C$13:$N$13,MOD(J$4-$B19,12)+1)</f>
        <v>1</v>
      </c>
      <c r="K19" s="5" t="n">
        <f aca="false">INDEX(Rules!$C$13:$N$13,MOD(K$4-$B19,12)+1)</f>
        <v>1</v>
      </c>
      <c r="L19" s="5" t="n">
        <f aca="false">INDEX(Rules!$C$13:$N$13,MOD(L$4-$B19,12)+1)</f>
        <v>0</v>
      </c>
      <c r="M19" s="5" t="n">
        <f aca="false">INDEX(Rules!$C$13:$N$13,MOD(M$4-$B19,12)+1)</f>
        <v>1</v>
      </c>
      <c r="N19" s="5" t="n">
        <f aca="false">INDEX(Rules!$C$13:$N$13,MOD(N$4-$B19,12)+1)</f>
        <v>1</v>
      </c>
      <c r="O19" s="5" t="n">
        <f aca="false">SUM(C19:N19)</f>
        <v>6</v>
      </c>
    </row>
    <row r="20" customFormat="false" ht="15" hidden="false" customHeight="false" outlineLevel="0" collapsed="false">
      <c r="A20" s="11" t="s">
        <v>7</v>
      </c>
      <c r="B20" s="5" t="n">
        <f aca="false">Ashtakavarga!$C$6</f>
        <v>8</v>
      </c>
      <c r="C20" s="5" t="n">
        <f aca="false">INDEX(Rules!$C$14:$N$14,MOD(C$4-$B20,12)+1)</f>
        <v>0</v>
      </c>
      <c r="D20" s="5" t="n">
        <f aca="false">INDEX(Rules!$C$14:$N$14,MOD(D$4-$B20,12)+1)</f>
        <v>1</v>
      </c>
      <c r="E20" s="5" t="n">
        <f aca="false">INDEX(Rules!$C$14:$N$14,MOD(E$4-$B20,12)+1)</f>
        <v>1</v>
      </c>
      <c r="F20" s="5" t="n">
        <f aca="false">INDEX(Rules!$C$14:$N$14,MOD(F$4-$B20,12)+1)</f>
        <v>0</v>
      </c>
      <c r="G20" s="5" t="n">
        <f aca="false">INDEX(Rules!$C$14:$N$14,MOD(G$4-$B20,12)+1)</f>
        <v>1</v>
      </c>
      <c r="H20" s="5" t="n">
        <f aca="false">INDEX(Rules!$C$14:$N$14,MOD(H$4-$B20,12)+1)</f>
        <v>1</v>
      </c>
      <c r="I20" s="5" t="n">
        <f aca="false">INDEX(Rules!$C$14:$N$14,MOD(I$4-$B20,12)+1)</f>
        <v>1</v>
      </c>
      <c r="J20" s="5" t="n">
        <f aca="false">INDEX(Rules!$C$14:$N$14,MOD(J$4-$B20,12)+1)</f>
        <v>0</v>
      </c>
      <c r="K20" s="5" t="n">
        <f aca="false">INDEX(Rules!$C$14:$N$14,MOD(K$4-$B20,12)+1)</f>
        <v>1</v>
      </c>
      <c r="L20" s="5" t="n">
        <f aca="false">INDEX(Rules!$C$14:$N$14,MOD(L$4-$B20,12)+1)</f>
        <v>0</v>
      </c>
      <c r="M20" s="5" t="n">
        <f aca="false">INDEX(Rules!$C$14:$N$14,MOD(M$4-$B20,12)+1)</f>
        <v>1</v>
      </c>
      <c r="N20" s="5" t="n">
        <f aca="false">INDEX(Rules!$C$14:$N$14,MOD(N$4-$B20,12)+1)</f>
        <v>0</v>
      </c>
      <c r="O20" s="5" t="n">
        <f aca="false">SUM(C20:N20)</f>
        <v>7</v>
      </c>
    </row>
    <row r="21" customFormat="false" ht="15" hidden="false" customHeight="false" outlineLevel="0" collapsed="false">
      <c r="A21" s="11" t="s">
        <v>9</v>
      </c>
      <c r="B21" s="5" t="n">
        <f aca="false">Ashtakavarga!$C$7</f>
        <v>10</v>
      </c>
      <c r="C21" s="5" t="n">
        <f aca="false">INDEX(Rules!$C$15:$N$15,MOD(C$4-$B21,12)+1)</f>
        <v>1</v>
      </c>
      <c r="D21" s="5" t="n">
        <f aca="false">INDEX(Rules!$C$15:$N$15,MOD(D$4-$B21,12)+1)</f>
        <v>0</v>
      </c>
      <c r="E21" s="5" t="n">
        <f aca="false">INDEX(Rules!$C$15:$N$15,MOD(E$4-$B21,12)+1)</f>
        <v>1</v>
      </c>
      <c r="F21" s="5" t="n">
        <f aca="false">INDEX(Rules!$C$15:$N$15,MOD(F$4-$B21,12)+1)</f>
        <v>1</v>
      </c>
      <c r="G21" s="5" t="n">
        <f aca="false">INDEX(Rules!$C$15:$N$15,MOD(G$4-$B21,12)+1)</f>
        <v>0</v>
      </c>
      <c r="H21" s="5" t="n">
        <f aca="false">INDEX(Rules!$C$15:$N$15,MOD(H$4-$B21,12)+1)</f>
        <v>0</v>
      </c>
      <c r="I21" s="5" t="n">
        <f aca="false">INDEX(Rules!$C$15:$N$15,MOD(I$4-$B21,12)+1)</f>
        <v>0</v>
      </c>
      <c r="J21" s="5" t="n">
        <f aca="false">INDEX(Rules!$C$15:$N$15,MOD(J$4-$B21,12)+1)</f>
        <v>1</v>
      </c>
      <c r="K21" s="5" t="n">
        <f aca="false">INDEX(Rules!$C$15:$N$15,MOD(K$4-$B21,12)+1)</f>
        <v>1</v>
      </c>
      <c r="L21" s="5" t="n">
        <f aca="false">INDEX(Rules!$C$15:$N$15,MOD(L$4-$B21,12)+1)</f>
        <v>0</v>
      </c>
      <c r="M21" s="5" t="n">
        <f aca="false">INDEX(Rules!$C$15:$N$15,MOD(M$4-$B21,12)+1)</f>
        <v>0</v>
      </c>
      <c r="N21" s="5" t="n">
        <f aca="false">INDEX(Rules!$C$15:$N$15,MOD(N$4-$B21,12)+1)</f>
        <v>1</v>
      </c>
      <c r="O21" s="5" t="n">
        <f aca="false">SUM(C21:N21)</f>
        <v>6</v>
      </c>
    </row>
    <row r="22" customFormat="false" ht="15" hidden="false" customHeight="false" outlineLevel="0" collapsed="false">
      <c r="A22" s="11" t="s">
        <v>11</v>
      </c>
      <c r="B22" s="5" t="n">
        <f aca="false">Ashtakavarga!$C$8</f>
        <v>0</v>
      </c>
      <c r="C22" s="5" t="n">
        <f aca="false">INDEX(Rules!$C$16:$N$16,MOD(C$4-$B22,12)+1)</f>
        <v>1</v>
      </c>
      <c r="D22" s="5" t="n">
        <f aca="false">INDEX(Rules!$C$16:$N$16,MOD(D$4-$B22,12)+1)</f>
        <v>0</v>
      </c>
      <c r="E22" s="5" t="n">
        <f aca="false">INDEX(Rules!$C$16:$N$16,MOD(E$4-$B22,12)+1)</f>
        <v>1</v>
      </c>
      <c r="F22" s="5" t="n">
        <f aca="false">INDEX(Rules!$C$16:$N$16,MOD(F$4-$B22,12)+1)</f>
        <v>1</v>
      </c>
      <c r="G22" s="5" t="n">
        <f aca="false">INDEX(Rules!$C$16:$N$16,MOD(G$4-$B22,12)+1)</f>
        <v>1</v>
      </c>
      <c r="H22" s="5" t="n">
        <f aca="false">INDEX(Rules!$C$16:$N$16,MOD(H$4-$B22,12)+1)</f>
        <v>0</v>
      </c>
      <c r="I22" s="5" t="n">
        <f aca="false">INDEX(Rules!$C$16:$N$16,MOD(I$4-$B22,12)+1)</f>
        <v>1</v>
      </c>
      <c r="J22" s="5" t="n">
        <f aca="false">INDEX(Rules!$C$16:$N$16,MOD(J$4-$B22,12)+1)</f>
        <v>1</v>
      </c>
      <c r="K22" s="5" t="n">
        <f aca="false">INDEX(Rules!$C$16:$N$16,MOD(K$4-$B22,12)+1)</f>
        <v>0</v>
      </c>
      <c r="L22" s="5" t="n">
        <f aca="false">INDEX(Rules!$C$16:$N$16,MOD(L$4-$B22,12)+1)</f>
        <v>1</v>
      </c>
      <c r="M22" s="5" t="n">
        <f aca="false">INDEX(Rules!$C$16:$N$16,MOD(M$4-$B22,12)+1)</f>
        <v>1</v>
      </c>
      <c r="N22" s="5" t="n">
        <f aca="false">INDEX(Rules!$C$16:$N$16,MOD(N$4-$B22,12)+1)</f>
        <v>0</v>
      </c>
      <c r="O22" s="5" t="n">
        <f aca="false">SUM(C22:N22)</f>
        <v>8</v>
      </c>
    </row>
    <row r="23" customFormat="false" ht="15" hidden="false" customHeight="false" outlineLevel="0" collapsed="false">
      <c r="A23" s="11" t="s">
        <v>13</v>
      </c>
      <c r="B23" s="5" t="n">
        <f aca="false">Ashtakavarga!$C$9</f>
        <v>2</v>
      </c>
      <c r="C23" s="5" t="n">
        <f aca="false">INDEX(Rules!$C$17:$N$17,MOD(C$4-$B23,12)+1)</f>
        <v>1</v>
      </c>
      <c r="D23" s="5" t="n">
        <f aca="false">INDEX(Rules!$C$17:$N$17,MOD(D$4-$B23,12)+1)</f>
        <v>0</v>
      </c>
      <c r="E23" s="5" t="n">
        <f aca="false">INDEX(Rules!$C$17:$N$17,MOD(E$4-$B23,12)+1)</f>
        <v>1</v>
      </c>
      <c r="F23" s="5" t="n">
        <f aca="false">INDEX(Rules!$C$17:$N$17,MOD(F$4-$B23,12)+1)</f>
        <v>1</v>
      </c>
      <c r="G23" s="5" t="n">
        <f aca="false">INDEX(Rules!$C$17:$N$17,MOD(G$4-$B23,12)+1)</f>
        <v>0</v>
      </c>
      <c r="H23" s="5" t="n">
        <f aca="false">INDEX(Rules!$C$17:$N$17,MOD(H$4-$B23,12)+1)</f>
        <v>1</v>
      </c>
      <c r="I23" s="5" t="n">
        <f aca="false">INDEX(Rules!$C$17:$N$17,MOD(I$4-$B23,12)+1)</f>
        <v>0</v>
      </c>
      <c r="J23" s="5" t="n">
        <f aca="false">INDEX(Rules!$C$17:$N$17,MOD(J$4-$B23,12)+1)</f>
        <v>0</v>
      </c>
      <c r="K23" s="5" t="n">
        <f aca="false">INDEX(Rules!$C$17:$N$17,MOD(K$4-$B23,12)+1)</f>
        <v>1</v>
      </c>
      <c r="L23" s="5" t="n">
        <f aca="false">INDEX(Rules!$C$17:$N$17,MOD(L$4-$B23,12)+1)</f>
        <v>1</v>
      </c>
      <c r="M23" s="5" t="n">
        <f aca="false">INDEX(Rules!$C$17:$N$17,MOD(M$4-$B23,12)+1)</f>
        <v>0</v>
      </c>
      <c r="N23" s="5" t="n">
        <f aca="false">INDEX(Rules!$C$17:$N$17,MOD(N$4-$B23,12)+1)</f>
        <v>1</v>
      </c>
      <c r="O23" s="5" t="n">
        <f aca="false">SUM(C23:N23)</f>
        <v>7</v>
      </c>
    </row>
    <row r="24" customFormat="false" ht="15" hidden="false" customHeight="false" outlineLevel="0" collapsed="false">
      <c r="A24" s="11" t="s">
        <v>15</v>
      </c>
      <c r="B24" s="5" t="n">
        <f aca="false">Ashtakavarga!$C$10</f>
        <v>11</v>
      </c>
      <c r="C24" s="5" t="n">
        <f aca="false">INDEX(Rules!$C$18:$N$18,MOD(C$4-$B24,12)+1)</f>
        <v>0</v>
      </c>
      <c r="D24" s="5" t="n">
        <f aca="false">INDEX(Rules!$C$18:$N$18,MOD(D$4-$B24,12)+1)</f>
        <v>1</v>
      </c>
      <c r="E24" s="5" t="n">
        <f aca="false">INDEX(Rules!$C$18:$N$18,MOD(E$4-$B24,12)+1)</f>
        <v>1</v>
      </c>
      <c r="F24" s="5" t="n">
        <f aca="false">INDEX(Rules!$C$18:$N$18,MOD(F$4-$B24,12)+1)</f>
        <v>1</v>
      </c>
      <c r="G24" s="5" t="n">
        <f aca="false">INDEX(Rules!$C$18:$N$18,MOD(G$4-$B24,12)+1)</f>
        <v>0</v>
      </c>
      <c r="H24" s="5" t="n">
        <f aca="false">INDEX(Rules!$C$18:$N$18,MOD(H$4-$B24,12)+1)</f>
        <v>1</v>
      </c>
      <c r="I24" s="5" t="n">
        <f aca="false">INDEX(Rules!$C$18:$N$18,MOD(I$4-$B24,12)+1)</f>
        <v>0</v>
      </c>
      <c r="J24" s="5" t="n">
        <f aca="false">INDEX(Rules!$C$18:$N$18,MOD(J$4-$B24,12)+1)</f>
        <v>1</v>
      </c>
      <c r="K24" s="5" t="n">
        <f aca="false">INDEX(Rules!$C$18:$N$18,MOD(K$4-$B24,12)+1)</f>
        <v>1</v>
      </c>
      <c r="L24" s="5" t="n">
        <f aca="false">INDEX(Rules!$C$18:$N$18,MOD(L$4-$B24,12)+1)</f>
        <v>1</v>
      </c>
      <c r="M24" s="5" t="n">
        <f aca="false">INDEX(Rules!$C$18:$N$18,MOD(M$4-$B24,12)+1)</f>
        <v>0</v>
      </c>
      <c r="N24" s="5" t="n">
        <f aca="false">INDEX(Rules!$C$18:$N$18,MOD(N$4-$B24,12)+1)</f>
        <v>0</v>
      </c>
      <c r="O24" s="5" t="n">
        <f aca="false">SUM(C24:N24)</f>
        <v>7</v>
      </c>
    </row>
    <row r="25" customFormat="false" ht="15" hidden="false" customHeight="false" outlineLevel="0" collapsed="false">
      <c r="A25" s="11" t="s">
        <v>17</v>
      </c>
      <c r="B25" s="5" t="n">
        <f aca="false">Ashtakavarga!$C$11</f>
        <v>9</v>
      </c>
      <c r="C25" s="5" t="n">
        <f aca="false">INDEX(Rules!$C$19:$N$19,MOD(C$4-$B25,12)+1)</f>
        <v>0</v>
      </c>
      <c r="D25" s="5" t="n">
        <f aca="false">INDEX(Rules!$C$19:$N$19,MOD(D$4-$B25,12)+1)</f>
        <v>1</v>
      </c>
      <c r="E25" s="5" t="n">
        <f aca="false">INDEX(Rules!$C$19:$N$19,MOD(E$4-$B25,12)+1)</f>
        <v>1</v>
      </c>
      <c r="F25" s="5" t="n">
        <f aca="false">INDEX(Rules!$C$19:$N$19,MOD(F$4-$B25,12)+1)</f>
        <v>0</v>
      </c>
      <c r="G25" s="5" t="n">
        <f aca="false">INDEX(Rules!$C$19:$N$19,MOD(G$4-$B25,12)+1)</f>
        <v>0</v>
      </c>
      <c r="H25" s="5" t="n">
        <f aca="false">INDEX(Rules!$C$19:$N$19,MOD(H$4-$B25,12)+1)</f>
        <v>0</v>
      </c>
      <c r="I25" s="5" t="n">
        <f aca="false">INDEX(Rules!$C$19:$N$19,MOD(I$4-$B25,12)+1)</f>
        <v>0</v>
      </c>
      <c r="J25" s="5" t="n">
        <f aca="false">INDEX(Rules!$C$19:$N$19,MOD(J$4-$B25,12)+1)</f>
        <v>1</v>
      </c>
      <c r="K25" s="5" t="n">
        <f aca="false">INDEX(Rules!$C$19:$N$19,MOD(K$4-$B25,12)+1)</f>
        <v>0</v>
      </c>
      <c r="L25" s="5" t="n">
        <f aca="false">INDEX(Rules!$C$19:$N$19,MOD(L$4-$B25,12)+1)</f>
        <v>0</v>
      </c>
      <c r="M25" s="5" t="n">
        <f aca="false">INDEX(Rules!$C$19:$N$19,MOD(M$4-$B25,12)+1)</f>
        <v>0</v>
      </c>
      <c r="N25" s="5" t="n">
        <f aca="false">INDEX(Rules!$C$19:$N$19,MOD(N$4-$B25,12)+1)</f>
        <v>1</v>
      </c>
      <c r="O25" s="5" t="n">
        <f aca="false">SUM(C25:N25)</f>
        <v>4</v>
      </c>
    </row>
    <row r="26" customFormat="false" ht="15" hidden="false" customHeight="false" outlineLevel="0" collapsed="false">
      <c r="A26" s="11" t="s">
        <v>19</v>
      </c>
      <c r="B26" s="5" t="n">
        <f aca="false">Ashtakavarga!$C$12</f>
        <v>1</v>
      </c>
      <c r="C26" s="5" t="n">
        <f aca="false">INDEX(Rules!$C$20:$N$20,MOD(C$4-$B26,12)+1)</f>
        <v>0</v>
      </c>
      <c r="D26" s="5" t="n">
        <f aca="false">INDEX(Rules!$C$20:$N$20,MOD(D$4-$B26,12)+1)</f>
        <v>0</v>
      </c>
      <c r="E26" s="5" t="n">
        <f aca="false">INDEX(Rules!$C$20:$N$20,MOD(E$4-$B26,12)+1)</f>
        <v>0</v>
      </c>
      <c r="F26" s="5" t="n">
        <f aca="false">INDEX(Rules!$C$20:$N$20,MOD(F$4-$B26,12)+1)</f>
        <v>1</v>
      </c>
      <c r="G26" s="5" t="n">
        <f aca="false">INDEX(Rules!$C$20:$N$20,MOD(G$4-$B26,12)+1)</f>
        <v>0</v>
      </c>
      <c r="H26" s="5" t="n">
        <f aca="false">INDEX(Rules!$C$20:$N$20,MOD(H$4-$B26,12)+1)</f>
        <v>0</v>
      </c>
      <c r="I26" s="5" t="n">
        <f aca="false">INDEX(Rules!$C$20:$N$20,MOD(I$4-$B26,12)+1)</f>
        <v>1</v>
      </c>
      <c r="J26" s="5" t="n">
        <f aca="false">INDEX(Rules!$C$20:$N$20,MOD(J$4-$B26,12)+1)</f>
        <v>0</v>
      </c>
      <c r="K26" s="5" t="n">
        <f aca="false">INDEX(Rules!$C$20:$N$20,MOD(K$4-$B26,12)+1)</f>
        <v>0</v>
      </c>
      <c r="L26" s="5" t="n">
        <f aca="false">INDEX(Rules!$C$20:$N$20,MOD(L$4-$B26,12)+1)</f>
        <v>0</v>
      </c>
      <c r="M26" s="5" t="n">
        <f aca="false">INDEX(Rules!$C$20:$N$20,MOD(M$4-$B26,12)+1)</f>
        <v>1</v>
      </c>
      <c r="N26" s="5" t="n">
        <f aca="false">INDEX(Rules!$C$20:$N$20,MOD(N$4-$B26,12)+1)</f>
        <v>1</v>
      </c>
      <c r="O26" s="5" t="n">
        <f aca="false">SUM(C26:N26)</f>
        <v>4</v>
      </c>
    </row>
    <row r="27" customFormat="false" ht="15" hidden="false" customHeight="false" outlineLevel="0" collapsed="false">
      <c r="A27" s="3" t="s">
        <v>65</v>
      </c>
      <c r="B27" s="5"/>
      <c r="C27" s="7" t="n">
        <f aca="false">SUM(C19:C26)</f>
        <v>3</v>
      </c>
      <c r="D27" s="7" t="n">
        <f aca="false">SUM(D19:D26)</f>
        <v>3</v>
      </c>
      <c r="E27" s="7" t="n">
        <f aca="false">SUM(E19:E26)</f>
        <v>6</v>
      </c>
      <c r="F27" s="7" t="n">
        <f aca="false">SUM(F19:F26)</f>
        <v>6</v>
      </c>
      <c r="G27" s="7" t="n">
        <f aca="false">SUM(G19:G26)</f>
        <v>2</v>
      </c>
      <c r="H27" s="7" t="n">
        <f aca="false">SUM(H19:H26)</f>
        <v>3</v>
      </c>
      <c r="I27" s="7" t="n">
        <f aca="false">SUM(I19:I26)</f>
        <v>4</v>
      </c>
      <c r="J27" s="7" t="n">
        <f aca="false">SUM(J19:J26)</f>
        <v>5</v>
      </c>
      <c r="K27" s="7" t="n">
        <f aca="false">SUM(K19:K26)</f>
        <v>5</v>
      </c>
      <c r="L27" s="7" t="n">
        <f aca="false">SUM(L19:L26)</f>
        <v>3</v>
      </c>
      <c r="M27" s="7" t="n">
        <f aca="false">SUM(M19:M26)</f>
        <v>4</v>
      </c>
      <c r="N27" s="7" t="n">
        <f aca="false">SUM(N19:N26)</f>
        <v>5</v>
      </c>
      <c r="O27" s="7" t="n">
        <f aca="false">SUM(C27:N27)</f>
        <v>49</v>
      </c>
    </row>
    <row r="30" customFormat="false" ht="15" hidden="false" customHeight="false" outlineLevel="0" collapsed="false">
      <c r="A30" s="6" t="s">
        <v>66</v>
      </c>
      <c r="B30" s="12" t="s">
        <v>61</v>
      </c>
      <c r="O30" s="12" t="s">
        <v>62</v>
      </c>
    </row>
    <row r="31" customFormat="false" ht="15" hidden="false" customHeight="false" outlineLevel="0" collapsed="false">
      <c r="A31" s="11" t="s">
        <v>5</v>
      </c>
      <c r="B31" s="5" t="n">
        <f aca="false">Ashtakavarga!$C$5</f>
        <v>1</v>
      </c>
      <c r="C31" s="5" t="n">
        <f aca="false">INDEX(Rules!$C$21:$N$21,MOD(C$4-$B31,12)+1)</f>
        <v>0</v>
      </c>
      <c r="D31" s="5" t="n">
        <f aca="false">INDEX(Rules!$C$21:$N$21,MOD(D$4-$B31,12)+1)</f>
        <v>0</v>
      </c>
      <c r="E31" s="5" t="n">
        <f aca="false">INDEX(Rules!$C$21:$N$21,MOD(E$4-$B31,12)+1)</f>
        <v>0</v>
      </c>
      <c r="F31" s="5" t="n">
        <f aca="false">INDEX(Rules!$C$21:$N$21,MOD(F$4-$B31,12)+1)</f>
        <v>1</v>
      </c>
      <c r="G31" s="5" t="n">
        <f aca="false">INDEX(Rules!$C$21:$N$21,MOD(G$4-$B31,12)+1)</f>
        <v>0</v>
      </c>
      <c r="H31" s="5" t="n">
        <f aca="false">INDEX(Rules!$C$21:$N$21,MOD(H$4-$B31,12)+1)</f>
        <v>1</v>
      </c>
      <c r="I31" s="5" t="n">
        <f aca="false">INDEX(Rules!$C$21:$N$21,MOD(I$4-$B31,12)+1)</f>
        <v>1</v>
      </c>
      <c r="J31" s="5" t="n">
        <f aca="false">INDEX(Rules!$C$21:$N$21,MOD(J$4-$B31,12)+1)</f>
        <v>0</v>
      </c>
      <c r="K31" s="5" t="n">
        <f aca="false">INDEX(Rules!$C$21:$N$21,MOD(K$4-$B31,12)+1)</f>
        <v>0</v>
      </c>
      <c r="L31" s="5" t="n">
        <f aca="false">INDEX(Rules!$C$21:$N$21,MOD(L$4-$B31,12)+1)</f>
        <v>0</v>
      </c>
      <c r="M31" s="5" t="n">
        <f aca="false">INDEX(Rules!$C$21:$N$21,MOD(M$4-$B31,12)+1)</f>
        <v>1</v>
      </c>
      <c r="N31" s="5" t="n">
        <f aca="false">INDEX(Rules!$C$21:$N$21,MOD(N$4-$B31,12)+1)</f>
        <v>1</v>
      </c>
      <c r="O31" s="5" t="n">
        <f aca="false">SUM(C31:N31)</f>
        <v>5</v>
      </c>
    </row>
    <row r="32" customFormat="false" ht="15" hidden="false" customHeight="false" outlineLevel="0" collapsed="false">
      <c r="A32" s="11" t="s">
        <v>7</v>
      </c>
      <c r="B32" s="5" t="n">
        <f aca="false">Ashtakavarga!$C$6</f>
        <v>8</v>
      </c>
      <c r="C32" s="5" t="n">
        <f aca="false">INDEX(Rules!$C$22:$N$22,MOD(C$4-$B32,12)+1)</f>
        <v>0</v>
      </c>
      <c r="D32" s="5" t="n">
        <f aca="false">INDEX(Rules!$C$22:$N$22,MOD(D$4-$B32,12)+1)</f>
        <v>1</v>
      </c>
      <c r="E32" s="5" t="n">
        <f aca="false">INDEX(Rules!$C$22:$N$22,MOD(E$4-$B32,12)+1)</f>
        <v>0</v>
      </c>
      <c r="F32" s="5" t="n">
        <f aca="false">INDEX(Rules!$C$22:$N$22,MOD(F$4-$B32,12)+1)</f>
        <v>0</v>
      </c>
      <c r="G32" s="5" t="n">
        <f aca="false">INDEX(Rules!$C$22:$N$22,MOD(G$4-$B32,12)+1)</f>
        <v>0</v>
      </c>
      <c r="H32" s="5" t="n">
        <f aca="false">INDEX(Rules!$C$22:$N$22,MOD(H$4-$B32,12)+1)</f>
        <v>0</v>
      </c>
      <c r="I32" s="5" t="n">
        <f aca="false">INDEX(Rules!$C$22:$N$22,MOD(I$4-$B32,12)+1)</f>
        <v>1</v>
      </c>
      <c r="J32" s="5" t="n">
        <f aca="false">INDEX(Rules!$C$22:$N$22,MOD(J$4-$B32,12)+1)</f>
        <v>0</v>
      </c>
      <c r="K32" s="5" t="n">
        <f aca="false">INDEX(Rules!$C$22:$N$22,MOD(K$4-$B32,12)+1)</f>
        <v>0</v>
      </c>
      <c r="L32" s="5" t="n">
        <f aca="false">INDEX(Rules!$C$22:$N$22,MOD(L$4-$B32,12)+1)</f>
        <v>0</v>
      </c>
      <c r="M32" s="5" t="n">
        <f aca="false">INDEX(Rules!$C$22:$N$22,MOD(M$4-$B32,12)+1)</f>
        <v>1</v>
      </c>
      <c r="N32" s="5" t="n">
        <f aca="false">INDEX(Rules!$C$22:$N$22,MOD(N$4-$B32,12)+1)</f>
        <v>0</v>
      </c>
      <c r="O32" s="5" t="n">
        <f aca="false">SUM(C32:N32)</f>
        <v>3</v>
      </c>
    </row>
    <row r="33" customFormat="false" ht="15" hidden="false" customHeight="false" outlineLevel="0" collapsed="false">
      <c r="A33" s="11" t="s">
        <v>9</v>
      </c>
      <c r="B33" s="5" t="n">
        <f aca="false">Ashtakavarga!$C$7</f>
        <v>10</v>
      </c>
      <c r="C33" s="5" t="n">
        <f aca="false">INDEX(Rules!$C$23:$N$23,MOD(C$4-$B33,12)+1)</f>
        <v>0</v>
      </c>
      <c r="D33" s="5" t="n">
        <f aca="false">INDEX(Rules!$C$23:$N$23,MOD(D$4-$B33,12)+1)</f>
        <v>1</v>
      </c>
      <c r="E33" s="5" t="n">
        <f aca="false">INDEX(Rules!$C$23:$N$23,MOD(E$4-$B33,12)+1)</f>
        <v>0</v>
      </c>
      <c r="F33" s="5" t="n">
        <f aca="false">INDEX(Rules!$C$23:$N$23,MOD(F$4-$B33,12)+1)</f>
        <v>0</v>
      </c>
      <c r="G33" s="5" t="n">
        <f aca="false">INDEX(Rules!$C$23:$N$23,MOD(G$4-$B33,12)+1)</f>
        <v>1</v>
      </c>
      <c r="H33" s="5" t="n">
        <f aca="false">INDEX(Rules!$C$23:$N$23,MOD(H$4-$B33,12)+1)</f>
        <v>1</v>
      </c>
      <c r="I33" s="5" t="n">
        <f aca="false">INDEX(Rules!$C$23:$N$23,MOD(I$4-$B33,12)+1)</f>
        <v>0</v>
      </c>
      <c r="J33" s="5" t="n">
        <f aca="false">INDEX(Rules!$C$23:$N$23,MOD(J$4-$B33,12)+1)</f>
        <v>1</v>
      </c>
      <c r="K33" s="5" t="n">
        <f aca="false">INDEX(Rules!$C$23:$N$23,MOD(K$4-$B33,12)+1)</f>
        <v>1</v>
      </c>
      <c r="L33" s="5" t="n">
        <f aca="false">INDEX(Rules!$C$23:$N$23,MOD(L$4-$B33,12)+1)</f>
        <v>0</v>
      </c>
      <c r="M33" s="5" t="n">
        <f aca="false">INDEX(Rules!$C$23:$N$23,MOD(M$4-$B33,12)+1)</f>
        <v>1</v>
      </c>
      <c r="N33" s="5" t="n">
        <f aca="false">INDEX(Rules!$C$23:$N$23,MOD(N$4-$B33,12)+1)</f>
        <v>1</v>
      </c>
      <c r="O33" s="5" t="n">
        <f aca="false">SUM(C33:N33)</f>
        <v>7</v>
      </c>
    </row>
    <row r="34" customFormat="false" ht="15" hidden="false" customHeight="false" outlineLevel="0" collapsed="false">
      <c r="A34" s="11" t="s">
        <v>11</v>
      </c>
      <c r="B34" s="5" t="n">
        <f aca="false">Ashtakavarga!$C$8</f>
        <v>0</v>
      </c>
      <c r="C34" s="5" t="n">
        <f aca="false">INDEX(Rules!$C$24:$N$24,MOD(C$4-$B34,12)+1)</f>
        <v>0</v>
      </c>
      <c r="D34" s="5" t="n">
        <f aca="false">INDEX(Rules!$C$24:$N$24,MOD(D$4-$B34,12)+1)</f>
        <v>0</v>
      </c>
      <c r="E34" s="5" t="n">
        <f aca="false">INDEX(Rules!$C$24:$N$24,MOD(E$4-$B34,12)+1)</f>
        <v>1</v>
      </c>
      <c r="F34" s="5" t="n">
        <f aca="false">INDEX(Rules!$C$24:$N$24,MOD(F$4-$B34,12)+1)</f>
        <v>0</v>
      </c>
      <c r="G34" s="5" t="n">
        <f aca="false">INDEX(Rules!$C$24:$N$24,MOD(G$4-$B34,12)+1)</f>
        <v>1</v>
      </c>
      <c r="H34" s="5" t="n">
        <f aca="false">INDEX(Rules!$C$24:$N$24,MOD(H$4-$B34,12)+1)</f>
        <v>1</v>
      </c>
      <c r="I34" s="5" t="n">
        <f aca="false">INDEX(Rules!$C$24:$N$24,MOD(I$4-$B34,12)+1)</f>
        <v>0</v>
      </c>
      <c r="J34" s="5" t="n">
        <f aca="false">INDEX(Rules!$C$24:$N$24,MOD(J$4-$B34,12)+1)</f>
        <v>0</v>
      </c>
      <c r="K34" s="5" t="n">
        <f aca="false">INDEX(Rules!$C$24:$N$24,MOD(K$4-$B34,12)+1)</f>
        <v>0</v>
      </c>
      <c r="L34" s="5" t="n">
        <f aca="false">INDEX(Rules!$C$24:$N$24,MOD(L$4-$B34,12)+1)</f>
        <v>0</v>
      </c>
      <c r="M34" s="5" t="n">
        <f aca="false">INDEX(Rules!$C$24:$N$24,MOD(M$4-$B34,12)+1)</f>
        <v>1</v>
      </c>
      <c r="N34" s="5" t="n">
        <f aca="false">INDEX(Rules!$C$24:$N$24,MOD(N$4-$B34,12)+1)</f>
        <v>0</v>
      </c>
      <c r="O34" s="5" t="n">
        <f aca="false">SUM(C34:N34)</f>
        <v>4</v>
      </c>
    </row>
    <row r="35" customFormat="false" ht="15" hidden="false" customHeight="false" outlineLevel="0" collapsed="false">
      <c r="A35" s="11" t="s">
        <v>13</v>
      </c>
      <c r="B35" s="5" t="n">
        <f aca="false">Ashtakavarga!$C$9</f>
        <v>2</v>
      </c>
      <c r="C35" s="5" t="n">
        <f aca="false">INDEX(Rules!$C$25:$N$25,MOD(C$4-$B35,12)+1)</f>
        <v>1</v>
      </c>
      <c r="D35" s="5" t="n">
        <f aca="false">INDEX(Rules!$C$25:$N$25,MOD(D$4-$B35,12)+1)</f>
        <v>1</v>
      </c>
      <c r="E35" s="5" t="n">
        <f aca="false">INDEX(Rules!$C$25:$N$25,MOD(E$4-$B35,12)+1)</f>
        <v>0</v>
      </c>
      <c r="F35" s="5" t="n">
        <f aca="false">INDEX(Rules!$C$25:$N$25,MOD(F$4-$B35,12)+1)</f>
        <v>0</v>
      </c>
      <c r="G35" s="5" t="n">
        <f aca="false">INDEX(Rules!$C$25:$N$25,MOD(G$4-$B35,12)+1)</f>
        <v>0</v>
      </c>
      <c r="H35" s="5" t="n">
        <f aca="false">INDEX(Rules!$C$25:$N$25,MOD(H$4-$B35,12)+1)</f>
        <v>0</v>
      </c>
      <c r="I35" s="5" t="n">
        <f aca="false">INDEX(Rules!$C$25:$N$25,MOD(I$4-$B35,12)+1)</f>
        <v>0</v>
      </c>
      <c r="J35" s="5" t="n">
        <f aca="false">INDEX(Rules!$C$25:$N$25,MOD(J$4-$B35,12)+1)</f>
        <v>1</v>
      </c>
      <c r="K35" s="5" t="n">
        <f aca="false">INDEX(Rules!$C$25:$N$25,MOD(K$4-$B35,12)+1)</f>
        <v>0</v>
      </c>
      <c r="L35" s="5" t="n">
        <f aca="false">INDEX(Rules!$C$25:$N$25,MOD(L$4-$B35,12)+1)</f>
        <v>0</v>
      </c>
      <c r="M35" s="5" t="n">
        <f aca="false">INDEX(Rules!$C$25:$N$25,MOD(M$4-$B35,12)+1)</f>
        <v>0</v>
      </c>
      <c r="N35" s="5" t="n">
        <f aca="false">INDEX(Rules!$C$25:$N$25,MOD(N$4-$B35,12)+1)</f>
        <v>1</v>
      </c>
      <c r="O35" s="5" t="n">
        <f aca="false">SUM(C35:N35)</f>
        <v>4</v>
      </c>
    </row>
    <row r="36" customFormat="false" ht="15" hidden="false" customHeight="false" outlineLevel="0" collapsed="false">
      <c r="A36" s="11" t="s">
        <v>15</v>
      </c>
      <c r="B36" s="5" t="n">
        <f aca="false">Ashtakavarga!$C$10</f>
        <v>11</v>
      </c>
      <c r="C36" s="5" t="n">
        <f aca="false">INDEX(Rules!$C$26:$N$26,MOD(C$4-$B36,12)+1)</f>
        <v>0</v>
      </c>
      <c r="D36" s="5" t="n">
        <f aca="false">INDEX(Rules!$C$26:$N$26,MOD(D$4-$B36,12)+1)</f>
        <v>0</v>
      </c>
      <c r="E36" s="5" t="n">
        <f aca="false">INDEX(Rules!$C$26:$N$26,MOD(E$4-$B36,12)+1)</f>
        <v>0</v>
      </c>
      <c r="F36" s="5" t="n">
        <f aca="false">INDEX(Rules!$C$26:$N$26,MOD(F$4-$B36,12)+1)</f>
        <v>0</v>
      </c>
      <c r="G36" s="5" t="n">
        <f aca="false">INDEX(Rules!$C$26:$N$26,MOD(G$4-$B36,12)+1)</f>
        <v>1</v>
      </c>
      <c r="H36" s="5" t="n">
        <f aca="false">INDEX(Rules!$C$26:$N$26,MOD(H$4-$B36,12)+1)</f>
        <v>0</v>
      </c>
      <c r="I36" s="5" t="n">
        <f aca="false">INDEX(Rules!$C$26:$N$26,MOD(I$4-$B36,12)+1)</f>
        <v>1</v>
      </c>
      <c r="J36" s="5" t="n">
        <f aca="false">INDEX(Rules!$C$26:$N$26,MOD(J$4-$B36,12)+1)</f>
        <v>0</v>
      </c>
      <c r="K36" s="5" t="n">
        <f aca="false">INDEX(Rules!$C$26:$N$26,MOD(K$4-$B36,12)+1)</f>
        <v>0</v>
      </c>
      <c r="L36" s="5" t="n">
        <f aca="false">INDEX(Rules!$C$26:$N$26,MOD(L$4-$B36,12)+1)</f>
        <v>1</v>
      </c>
      <c r="M36" s="5" t="n">
        <f aca="false">INDEX(Rules!$C$26:$N$26,MOD(M$4-$B36,12)+1)</f>
        <v>1</v>
      </c>
      <c r="N36" s="5" t="n">
        <f aca="false">INDEX(Rules!$C$26:$N$26,MOD(N$4-$B36,12)+1)</f>
        <v>0</v>
      </c>
      <c r="O36" s="5" t="n">
        <f aca="false">SUM(C36:N36)</f>
        <v>4</v>
      </c>
    </row>
    <row r="37" customFormat="false" ht="15" hidden="false" customHeight="false" outlineLevel="0" collapsed="false">
      <c r="A37" s="11" t="s">
        <v>17</v>
      </c>
      <c r="B37" s="5" t="n">
        <f aca="false">Ashtakavarga!$C$11</f>
        <v>9</v>
      </c>
      <c r="C37" s="5" t="n">
        <f aca="false">INDEX(Rules!$C$27:$N$27,MOD(C$4-$B37,12)+1)</f>
        <v>1</v>
      </c>
      <c r="D37" s="5" t="n">
        <f aca="false">INDEX(Rules!$C$27:$N$27,MOD(D$4-$B37,12)+1)</f>
        <v>0</v>
      </c>
      <c r="E37" s="5" t="n">
        <f aca="false">INDEX(Rules!$C$27:$N$27,MOD(E$4-$B37,12)+1)</f>
        <v>0</v>
      </c>
      <c r="F37" s="5" t="n">
        <f aca="false">INDEX(Rules!$C$27:$N$27,MOD(F$4-$B37,12)+1)</f>
        <v>1</v>
      </c>
      <c r="G37" s="5" t="n">
        <f aca="false">INDEX(Rules!$C$27:$N$27,MOD(G$4-$B37,12)+1)</f>
        <v>1</v>
      </c>
      <c r="H37" s="5" t="n">
        <f aca="false">INDEX(Rules!$C$27:$N$27,MOD(H$4-$B37,12)+1)</f>
        <v>1</v>
      </c>
      <c r="I37" s="5" t="n">
        <f aca="false">INDEX(Rules!$C$27:$N$27,MOD(I$4-$B37,12)+1)</f>
        <v>1</v>
      </c>
      <c r="J37" s="5" t="n">
        <f aca="false">INDEX(Rules!$C$27:$N$27,MOD(J$4-$B37,12)+1)</f>
        <v>1</v>
      </c>
      <c r="K37" s="5" t="n">
        <f aca="false">INDEX(Rules!$C$27:$N$27,MOD(K$4-$B37,12)+1)</f>
        <v>0</v>
      </c>
      <c r="L37" s="5" t="n">
        <f aca="false">INDEX(Rules!$C$27:$N$27,MOD(L$4-$B37,12)+1)</f>
        <v>1</v>
      </c>
      <c r="M37" s="5" t="n">
        <f aca="false">INDEX(Rules!$C$27:$N$27,MOD(M$4-$B37,12)+1)</f>
        <v>0</v>
      </c>
      <c r="N37" s="5" t="n">
        <f aca="false">INDEX(Rules!$C$27:$N$27,MOD(N$4-$B37,12)+1)</f>
        <v>0</v>
      </c>
      <c r="O37" s="5" t="n">
        <f aca="false">SUM(C37:N37)</f>
        <v>7</v>
      </c>
    </row>
    <row r="38" customFormat="false" ht="15" hidden="false" customHeight="false" outlineLevel="0" collapsed="false">
      <c r="A38" s="11" t="s">
        <v>19</v>
      </c>
      <c r="B38" s="5" t="n">
        <f aca="false">Ashtakavarga!$C$12</f>
        <v>1</v>
      </c>
      <c r="C38" s="5" t="n">
        <f aca="false">INDEX(Rules!$C$28:$N$28,MOD(C$4-$B38,12)+1)</f>
        <v>0</v>
      </c>
      <c r="D38" s="5" t="n">
        <f aca="false">INDEX(Rules!$C$28:$N$28,MOD(D$4-$B38,12)+1)</f>
        <v>1</v>
      </c>
      <c r="E38" s="5" t="n">
        <f aca="false">INDEX(Rules!$C$28:$N$28,MOD(E$4-$B38,12)+1)</f>
        <v>0</v>
      </c>
      <c r="F38" s="5" t="n">
        <f aca="false">INDEX(Rules!$C$28:$N$28,MOD(F$4-$B38,12)+1)</f>
        <v>1</v>
      </c>
      <c r="G38" s="5" t="n">
        <f aca="false">INDEX(Rules!$C$28:$N$28,MOD(G$4-$B38,12)+1)</f>
        <v>0</v>
      </c>
      <c r="H38" s="5" t="n">
        <f aca="false">INDEX(Rules!$C$28:$N$28,MOD(H$4-$B38,12)+1)</f>
        <v>0</v>
      </c>
      <c r="I38" s="5" t="n">
        <f aca="false">INDEX(Rules!$C$28:$N$28,MOD(I$4-$B38,12)+1)</f>
        <v>1</v>
      </c>
      <c r="J38" s="5" t="n">
        <f aca="false">INDEX(Rules!$C$28:$N$28,MOD(J$4-$B38,12)+1)</f>
        <v>0</v>
      </c>
      <c r="K38" s="5" t="n">
        <f aca="false">INDEX(Rules!$C$28:$N$28,MOD(K$4-$B38,12)+1)</f>
        <v>0</v>
      </c>
      <c r="L38" s="5" t="n">
        <f aca="false">INDEX(Rules!$C$28:$N$28,MOD(L$4-$B38,12)+1)</f>
        <v>0</v>
      </c>
      <c r="M38" s="5" t="n">
        <f aca="false">INDEX(Rules!$C$28:$N$28,MOD(M$4-$B38,12)+1)</f>
        <v>1</v>
      </c>
      <c r="N38" s="5" t="n">
        <f aca="false">INDEX(Rules!$C$28:$N$28,MOD(N$4-$B38,12)+1)</f>
        <v>1</v>
      </c>
      <c r="O38" s="5" t="n">
        <f aca="false">SUM(C38:N38)</f>
        <v>5</v>
      </c>
    </row>
    <row r="39" customFormat="false" ht="15" hidden="false" customHeight="false" outlineLevel="0" collapsed="false">
      <c r="A39" s="3" t="s">
        <v>67</v>
      </c>
      <c r="B39" s="5"/>
      <c r="C39" s="7" t="n">
        <f aca="false">SUM(C31:C38)</f>
        <v>2</v>
      </c>
      <c r="D39" s="7" t="n">
        <f aca="false">SUM(D31:D38)</f>
        <v>4</v>
      </c>
      <c r="E39" s="7" t="n">
        <f aca="false">SUM(E31:E38)</f>
        <v>1</v>
      </c>
      <c r="F39" s="7" t="n">
        <f aca="false">SUM(F31:F38)</f>
        <v>3</v>
      </c>
      <c r="G39" s="7" t="n">
        <f aca="false">SUM(G31:G38)</f>
        <v>4</v>
      </c>
      <c r="H39" s="7" t="n">
        <f aca="false">SUM(H31:H38)</f>
        <v>4</v>
      </c>
      <c r="I39" s="7" t="n">
        <f aca="false">SUM(I31:I38)</f>
        <v>5</v>
      </c>
      <c r="J39" s="7" t="n">
        <f aca="false">SUM(J31:J38)</f>
        <v>3</v>
      </c>
      <c r="K39" s="7" t="n">
        <f aca="false">SUM(K31:K38)</f>
        <v>1</v>
      </c>
      <c r="L39" s="7" t="n">
        <f aca="false">SUM(L31:L38)</f>
        <v>2</v>
      </c>
      <c r="M39" s="7" t="n">
        <f aca="false">SUM(M31:M38)</f>
        <v>6</v>
      </c>
      <c r="N39" s="7" t="n">
        <f aca="false">SUM(N31:N38)</f>
        <v>4</v>
      </c>
      <c r="O39" s="7" t="n">
        <f aca="false">SUM(C39:N39)</f>
        <v>39</v>
      </c>
    </row>
    <row r="42" customFormat="false" ht="15" hidden="false" customHeight="false" outlineLevel="0" collapsed="false">
      <c r="A42" s="6" t="s">
        <v>68</v>
      </c>
      <c r="B42" s="12" t="s">
        <v>61</v>
      </c>
      <c r="O42" s="12" t="s">
        <v>62</v>
      </c>
    </row>
    <row r="43" customFormat="false" ht="15" hidden="false" customHeight="false" outlineLevel="0" collapsed="false">
      <c r="A43" s="11" t="s">
        <v>5</v>
      </c>
      <c r="B43" s="5" t="n">
        <f aca="false">Ashtakavarga!$C$5</f>
        <v>1</v>
      </c>
      <c r="C43" s="5" t="n">
        <f aca="false">INDEX(Rules!$C$29:$N$29,MOD(C$4-$B43,12)+1)</f>
        <v>1</v>
      </c>
      <c r="D43" s="5" t="n">
        <f aca="false">INDEX(Rules!$C$29:$N$29,MOD(D$4-$B43,12)+1)</f>
        <v>0</v>
      </c>
      <c r="E43" s="5" t="n">
        <f aca="false">INDEX(Rules!$C$29:$N$29,MOD(E$4-$B43,12)+1)</f>
        <v>0</v>
      </c>
      <c r="F43" s="5" t="n">
        <f aca="false">INDEX(Rules!$C$29:$N$29,MOD(F$4-$B43,12)+1)</f>
        <v>0</v>
      </c>
      <c r="G43" s="5" t="n">
        <f aca="false">INDEX(Rules!$C$29:$N$29,MOD(G$4-$B43,12)+1)</f>
        <v>0</v>
      </c>
      <c r="H43" s="5" t="n">
        <f aca="false">INDEX(Rules!$C$29:$N$29,MOD(H$4-$B43,12)+1)</f>
        <v>1</v>
      </c>
      <c r="I43" s="5" t="n">
        <f aca="false">INDEX(Rules!$C$29:$N$29,MOD(I$4-$B43,12)+1)</f>
        <v>1</v>
      </c>
      <c r="J43" s="5" t="n">
        <f aca="false">INDEX(Rules!$C$29:$N$29,MOD(J$4-$B43,12)+1)</f>
        <v>0</v>
      </c>
      <c r="K43" s="5" t="n">
        <f aca="false">INDEX(Rules!$C$29:$N$29,MOD(K$4-$B43,12)+1)</f>
        <v>0</v>
      </c>
      <c r="L43" s="5" t="n">
        <f aca="false">INDEX(Rules!$C$29:$N$29,MOD(L$4-$B43,12)+1)</f>
        <v>1</v>
      </c>
      <c r="M43" s="5" t="n">
        <f aca="false">INDEX(Rules!$C$29:$N$29,MOD(M$4-$B43,12)+1)</f>
        <v>0</v>
      </c>
      <c r="N43" s="5" t="n">
        <f aca="false">INDEX(Rules!$C$29:$N$29,MOD(N$4-$B43,12)+1)</f>
        <v>1</v>
      </c>
      <c r="O43" s="5" t="n">
        <f aca="false">SUM(C43:N43)</f>
        <v>5</v>
      </c>
    </row>
    <row r="44" customFormat="false" ht="15" hidden="false" customHeight="false" outlineLevel="0" collapsed="false">
      <c r="A44" s="11" t="s">
        <v>7</v>
      </c>
      <c r="B44" s="5" t="n">
        <f aca="false">Ashtakavarga!$C$6</f>
        <v>8</v>
      </c>
      <c r="C44" s="5" t="n">
        <f aca="false">INDEX(Rules!$C$30:$N$30,MOD(C$4-$B44,12)+1)</f>
        <v>0</v>
      </c>
      <c r="D44" s="5" t="n">
        <f aca="false">INDEX(Rules!$C$30:$N$30,MOD(D$4-$B44,12)+1)</f>
        <v>1</v>
      </c>
      <c r="E44" s="5" t="n">
        <f aca="false">INDEX(Rules!$C$30:$N$30,MOD(E$4-$B44,12)+1)</f>
        <v>0</v>
      </c>
      <c r="F44" s="5" t="n">
        <f aca="false">INDEX(Rules!$C$30:$N$30,MOD(F$4-$B44,12)+1)</f>
        <v>1</v>
      </c>
      <c r="G44" s="5" t="n">
        <f aca="false">INDEX(Rules!$C$30:$N$30,MOD(G$4-$B44,12)+1)</f>
        <v>0</v>
      </c>
      <c r="H44" s="5" t="n">
        <f aca="false">INDEX(Rules!$C$30:$N$30,MOD(H$4-$B44,12)+1)</f>
        <v>1</v>
      </c>
      <c r="I44" s="5" t="n">
        <f aca="false">INDEX(Rules!$C$30:$N$30,MOD(I$4-$B44,12)+1)</f>
        <v>1</v>
      </c>
      <c r="J44" s="5" t="n">
        <f aca="false">INDEX(Rules!$C$30:$N$30,MOD(J$4-$B44,12)+1)</f>
        <v>0</v>
      </c>
      <c r="K44" s="5" t="n">
        <f aca="false">INDEX(Rules!$C$30:$N$30,MOD(K$4-$B44,12)+1)</f>
        <v>0</v>
      </c>
      <c r="L44" s="5" t="n">
        <f aca="false">INDEX(Rules!$C$30:$N$30,MOD(L$4-$B44,12)+1)</f>
        <v>1</v>
      </c>
      <c r="M44" s="5" t="n">
        <f aca="false">INDEX(Rules!$C$30:$N$30,MOD(M$4-$B44,12)+1)</f>
        <v>0</v>
      </c>
      <c r="N44" s="5" t="n">
        <f aca="false">INDEX(Rules!$C$30:$N$30,MOD(N$4-$B44,12)+1)</f>
        <v>1</v>
      </c>
      <c r="O44" s="5" t="n">
        <f aca="false">SUM(C44:N44)</f>
        <v>6</v>
      </c>
    </row>
    <row r="45" customFormat="false" ht="15" hidden="false" customHeight="false" outlineLevel="0" collapsed="false">
      <c r="A45" s="11" t="s">
        <v>9</v>
      </c>
      <c r="B45" s="5" t="n">
        <f aca="false">Ashtakavarga!$C$7</f>
        <v>10</v>
      </c>
      <c r="C45" s="5" t="n">
        <f aca="false">INDEX(Rules!$C$31:$N$31,MOD(C$4-$B45,12)+1)</f>
        <v>0</v>
      </c>
      <c r="D45" s="5" t="n">
        <f aca="false">INDEX(Rules!$C$31:$N$31,MOD(D$4-$B45,12)+1)</f>
        <v>1</v>
      </c>
      <c r="E45" s="5" t="n">
        <f aca="false">INDEX(Rules!$C$31:$N$31,MOD(E$4-$B45,12)+1)</f>
        <v>0</v>
      </c>
      <c r="F45" s="5" t="n">
        <f aca="false">INDEX(Rules!$C$31:$N$31,MOD(F$4-$B45,12)+1)</f>
        <v>0</v>
      </c>
      <c r="G45" s="5" t="n">
        <f aca="false">INDEX(Rules!$C$31:$N$31,MOD(G$4-$B45,12)+1)</f>
        <v>1</v>
      </c>
      <c r="H45" s="5" t="n">
        <f aca="false">INDEX(Rules!$C$31:$N$31,MOD(H$4-$B45,12)+1)</f>
        <v>1</v>
      </c>
      <c r="I45" s="5" t="n">
        <f aca="false">INDEX(Rules!$C$31:$N$31,MOD(I$4-$B45,12)+1)</f>
        <v>1</v>
      </c>
      <c r="J45" s="5" t="n">
        <f aca="false">INDEX(Rules!$C$31:$N$31,MOD(J$4-$B45,12)+1)</f>
        <v>1</v>
      </c>
      <c r="K45" s="5" t="n">
        <f aca="false">INDEX(Rules!$C$31:$N$31,MOD(K$4-$B45,12)+1)</f>
        <v>1</v>
      </c>
      <c r="L45" s="5" t="n">
        <f aca="false">INDEX(Rules!$C$31:$N$31,MOD(L$4-$B45,12)+1)</f>
        <v>0</v>
      </c>
      <c r="M45" s="5" t="n">
        <f aca="false">INDEX(Rules!$C$31:$N$31,MOD(M$4-$B45,12)+1)</f>
        <v>1</v>
      </c>
      <c r="N45" s="5" t="n">
        <f aca="false">INDEX(Rules!$C$31:$N$31,MOD(N$4-$B45,12)+1)</f>
        <v>1</v>
      </c>
      <c r="O45" s="5" t="n">
        <f aca="false">SUM(C45:N45)</f>
        <v>8</v>
      </c>
    </row>
    <row r="46" customFormat="false" ht="15" hidden="false" customHeight="false" outlineLevel="0" collapsed="false">
      <c r="A46" s="11" t="s">
        <v>11</v>
      </c>
      <c r="B46" s="5" t="n">
        <f aca="false">Ashtakavarga!$C$8</f>
        <v>0</v>
      </c>
      <c r="C46" s="5" t="n">
        <f aca="false">INDEX(Rules!$C$32:$N$32,MOD(C$4-$B46,12)+1)</f>
        <v>1</v>
      </c>
      <c r="D46" s="5" t="n">
        <f aca="false">INDEX(Rules!$C$32:$N$32,MOD(D$4-$B46,12)+1)</f>
        <v>0</v>
      </c>
      <c r="E46" s="5" t="n">
        <f aca="false">INDEX(Rules!$C$32:$N$32,MOD(E$4-$B46,12)+1)</f>
        <v>1</v>
      </c>
      <c r="F46" s="5" t="n">
        <f aca="false">INDEX(Rules!$C$32:$N$32,MOD(F$4-$B46,12)+1)</f>
        <v>0</v>
      </c>
      <c r="G46" s="5" t="n">
        <f aca="false">INDEX(Rules!$C$32:$N$32,MOD(G$4-$B46,12)+1)</f>
        <v>1</v>
      </c>
      <c r="H46" s="5" t="n">
        <f aca="false">INDEX(Rules!$C$32:$N$32,MOD(H$4-$B46,12)+1)</f>
        <v>1</v>
      </c>
      <c r="I46" s="5" t="n">
        <f aca="false">INDEX(Rules!$C$32:$N$32,MOD(I$4-$B46,12)+1)</f>
        <v>0</v>
      </c>
      <c r="J46" s="5" t="n">
        <f aca="false">INDEX(Rules!$C$32:$N$32,MOD(J$4-$B46,12)+1)</f>
        <v>0</v>
      </c>
      <c r="K46" s="5" t="n">
        <f aca="false">INDEX(Rules!$C$32:$N$32,MOD(K$4-$B46,12)+1)</f>
        <v>1</v>
      </c>
      <c r="L46" s="5" t="n">
        <f aca="false">INDEX(Rules!$C$32:$N$32,MOD(L$4-$B46,12)+1)</f>
        <v>1</v>
      </c>
      <c r="M46" s="5" t="n">
        <f aca="false">INDEX(Rules!$C$32:$N$32,MOD(M$4-$B46,12)+1)</f>
        <v>1</v>
      </c>
      <c r="N46" s="5" t="n">
        <f aca="false">INDEX(Rules!$C$32:$N$32,MOD(N$4-$B46,12)+1)</f>
        <v>1</v>
      </c>
      <c r="O46" s="5" t="n">
        <f aca="false">SUM(C46:N46)</f>
        <v>8</v>
      </c>
    </row>
    <row r="47" customFormat="false" ht="15" hidden="false" customHeight="false" outlineLevel="0" collapsed="false">
      <c r="A47" s="11" t="s">
        <v>13</v>
      </c>
      <c r="B47" s="5" t="n">
        <f aca="false">Ashtakavarga!$C$9</f>
        <v>2</v>
      </c>
      <c r="C47" s="5" t="n">
        <f aca="false">INDEX(Rules!$C$33:$N$33,MOD(C$4-$B47,12)+1)</f>
        <v>1</v>
      </c>
      <c r="D47" s="5" t="n">
        <f aca="false">INDEX(Rules!$C$33:$N$33,MOD(D$4-$B47,12)+1)</f>
        <v>1</v>
      </c>
      <c r="E47" s="5" t="n">
        <f aca="false">INDEX(Rules!$C$33:$N$33,MOD(E$4-$B47,12)+1)</f>
        <v>0</v>
      </c>
      <c r="F47" s="5" t="n">
        <f aca="false">INDEX(Rules!$C$33:$N$33,MOD(F$4-$B47,12)+1)</f>
        <v>0</v>
      </c>
      <c r="G47" s="5" t="n">
        <f aca="false">INDEX(Rules!$C$33:$N$33,MOD(G$4-$B47,12)+1)</f>
        <v>0</v>
      </c>
      <c r="H47" s="5" t="n">
        <f aca="false">INDEX(Rules!$C$33:$N$33,MOD(H$4-$B47,12)+1)</f>
        <v>0</v>
      </c>
      <c r="I47" s="5" t="n">
        <f aca="false">INDEX(Rules!$C$33:$N$33,MOD(I$4-$B47,12)+1)</f>
        <v>0</v>
      </c>
      <c r="J47" s="5" t="n">
        <f aca="false">INDEX(Rules!$C$33:$N$33,MOD(J$4-$B47,12)+1)</f>
        <v>1</v>
      </c>
      <c r="K47" s="5" t="n">
        <f aca="false">INDEX(Rules!$C$33:$N$33,MOD(K$4-$B47,12)+1)</f>
        <v>0</v>
      </c>
      <c r="L47" s="5" t="n">
        <f aca="false">INDEX(Rules!$C$33:$N$33,MOD(L$4-$B47,12)+1)</f>
        <v>1</v>
      </c>
      <c r="M47" s="5" t="n">
        <f aca="false">INDEX(Rules!$C$33:$N$33,MOD(M$4-$B47,12)+1)</f>
        <v>0</v>
      </c>
      <c r="N47" s="5" t="n">
        <f aca="false">INDEX(Rules!$C$33:$N$33,MOD(N$4-$B47,12)+1)</f>
        <v>0</v>
      </c>
      <c r="O47" s="5" t="n">
        <f aca="false">SUM(C47:N47)</f>
        <v>4</v>
      </c>
    </row>
    <row r="48" customFormat="false" ht="15" hidden="false" customHeight="false" outlineLevel="0" collapsed="false">
      <c r="A48" s="11" t="s">
        <v>15</v>
      </c>
      <c r="B48" s="5" t="n">
        <f aca="false">Ashtakavarga!$C$10</f>
        <v>11</v>
      </c>
      <c r="C48" s="5" t="n">
        <f aca="false">INDEX(Rules!$C$34:$N$34,MOD(C$4-$B48,12)+1)</f>
        <v>1</v>
      </c>
      <c r="D48" s="5" t="n">
        <f aca="false">INDEX(Rules!$C$34:$N$34,MOD(D$4-$B48,12)+1)</f>
        <v>1</v>
      </c>
      <c r="E48" s="5" t="n">
        <f aca="false">INDEX(Rules!$C$34:$N$34,MOD(E$4-$B48,12)+1)</f>
        <v>1</v>
      </c>
      <c r="F48" s="5" t="n">
        <f aca="false">INDEX(Rules!$C$34:$N$34,MOD(F$4-$B48,12)+1)</f>
        <v>1</v>
      </c>
      <c r="G48" s="5" t="n">
        <f aca="false">INDEX(Rules!$C$34:$N$34,MOD(G$4-$B48,12)+1)</f>
        <v>0</v>
      </c>
      <c r="H48" s="5" t="n">
        <f aca="false">INDEX(Rules!$C$34:$N$34,MOD(H$4-$B48,12)+1)</f>
        <v>0</v>
      </c>
      <c r="I48" s="5" t="n">
        <f aca="false">INDEX(Rules!$C$34:$N$34,MOD(I$4-$B48,12)+1)</f>
        <v>1</v>
      </c>
      <c r="J48" s="5" t="n">
        <f aca="false">INDEX(Rules!$C$34:$N$34,MOD(J$4-$B48,12)+1)</f>
        <v>1</v>
      </c>
      <c r="K48" s="5" t="n">
        <f aca="false">INDEX(Rules!$C$34:$N$34,MOD(K$4-$B48,12)+1)</f>
        <v>0</v>
      </c>
      <c r="L48" s="5" t="n">
        <f aca="false">INDEX(Rules!$C$34:$N$34,MOD(L$4-$B48,12)+1)</f>
        <v>1</v>
      </c>
      <c r="M48" s="5" t="n">
        <f aca="false">INDEX(Rules!$C$34:$N$34,MOD(M$4-$B48,12)+1)</f>
        <v>0</v>
      </c>
      <c r="N48" s="5" t="n">
        <f aca="false">INDEX(Rules!$C$34:$N$34,MOD(N$4-$B48,12)+1)</f>
        <v>1</v>
      </c>
      <c r="O48" s="5" t="n">
        <f aca="false">SUM(C48:N48)</f>
        <v>8</v>
      </c>
    </row>
    <row r="49" customFormat="false" ht="15" hidden="false" customHeight="false" outlineLevel="0" collapsed="false">
      <c r="A49" s="11" t="s">
        <v>17</v>
      </c>
      <c r="B49" s="5" t="n">
        <f aca="false">Ashtakavarga!$C$11</f>
        <v>9</v>
      </c>
      <c r="C49" s="5" t="n">
        <f aca="false">INDEX(Rules!$C$35:$N$35,MOD(C$4-$B49,12)+1)</f>
        <v>1</v>
      </c>
      <c r="D49" s="5" t="n">
        <f aca="false">INDEX(Rules!$C$35:$N$35,MOD(D$4-$B49,12)+1)</f>
        <v>0</v>
      </c>
      <c r="E49" s="5" t="n">
        <f aca="false">INDEX(Rules!$C$35:$N$35,MOD(E$4-$B49,12)+1)</f>
        <v>0</v>
      </c>
      <c r="F49" s="5" t="n">
        <f aca="false">INDEX(Rules!$C$35:$N$35,MOD(F$4-$B49,12)+1)</f>
        <v>1</v>
      </c>
      <c r="G49" s="5" t="n">
        <f aca="false">INDEX(Rules!$C$35:$N$35,MOD(G$4-$B49,12)+1)</f>
        <v>1</v>
      </c>
      <c r="H49" s="5" t="n">
        <f aca="false">INDEX(Rules!$C$35:$N$35,MOD(H$4-$B49,12)+1)</f>
        <v>1</v>
      </c>
      <c r="I49" s="5" t="n">
        <f aca="false">INDEX(Rules!$C$35:$N$35,MOD(I$4-$B49,12)+1)</f>
        <v>1</v>
      </c>
      <c r="J49" s="5" t="n">
        <f aca="false">INDEX(Rules!$C$35:$N$35,MOD(J$4-$B49,12)+1)</f>
        <v>1</v>
      </c>
      <c r="K49" s="5" t="n">
        <f aca="false">INDEX(Rules!$C$35:$N$35,MOD(K$4-$B49,12)+1)</f>
        <v>0</v>
      </c>
      <c r="L49" s="5" t="n">
        <f aca="false">INDEX(Rules!$C$35:$N$35,MOD(L$4-$B49,12)+1)</f>
        <v>1</v>
      </c>
      <c r="M49" s="5" t="n">
        <f aca="false">INDEX(Rules!$C$35:$N$35,MOD(M$4-$B49,12)+1)</f>
        <v>1</v>
      </c>
      <c r="N49" s="5" t="n">
        <f aca="false">INDEX(Rules!$C$35:$N$35,MOD(N$4-$B49,12)+1)</f>
        <v>0</v>
      </c>
      <c r="O49" s="5" t="n">
        <f aca="false">SUM(C49:N49)</f>
        <v>8</v>
      </c>
    </row>
    <row r="50" customFormat="false" ht="15" hidden="false" customHeight="false" outlineLevel="0" collapsed="false">
      <c r="A50" s="11" t="s">
        <v>19</v>
      </c>
      <c r="B50" s="5" t="n">
        <f aca="false">Ashtakavarga!$C$12</f>
        <v>1</v>
      </c>
      <c r="C50" s="5" t="n">
        <f aca="false">INDEX(Rules!$C$36:$N$36,MOD(C$4-$B50,12)+1)</f>
        <v>0</v>
      </c>
      <c r="D50" s="5" t="n">
        <f aca="false">INDEX(Rules!$C$36:$N$36,MOD(D$4-$B50,12)+1)</f>
        <v>1</v>
      </c>
      <c r="E50" s="5" t="n">
        <f aca="false">INDEX(Rules!$C$36:$N$36,MOD(E$4-$B50,12)+1)</f>
        <v>1</v>
      </c>
      <c r="F50" s="5" t="n">
        <f aca="false">INDEX(Rules!$C$36:$N$36,MOD(F$4-$B50,12)+1)</f>
        <v>0</v>
      </c>
      <c r="G50" s="5" t="n">
        <f aca="false">INDEX(Rules!$C$36:$N$36,MOD(G$4-$B50,12)+1)</f>
        <v>1</v>
      </c>
      <c r="H50" s="5" t="n">
        <f aca="false">INDEX(Rules!$C$36:$N$36,MOD(H$4-$B50,12)+1)</f>
        <v>0</v>
      </c>
      <c r="I50" s="5" t="n">
        <f aca="false">INDEX(Rules!$C$36:$N$36,MOD(I$4-$B50,12)+1)</f>
        <v>1</v>
      </c>
      <c r="J50" s="5" t="n">
        <f aca="false">INDEX(Rules!$C$36:$N$36,MOD(J$4-$B50,12)+1)</f>
        <v>0</v>
      </c>
      <c r="K50" s="5" t="n">
        <f aca="false">INDEX(Rules!$C$36:$N$36,MOD(K$4-$B50,12)+1)</f>
        <v>1</v>
      </c>
      <c r="L50" s="5" t="n">
        <f aca="false">INDEX(Rules!$C$36:$N$36,MOD(L$4-$B50,12)+1)</f>
        <v>0</v>
      </c>
      <c r="M50" s="5" t="n">
        <f aca="false">INDEX(Rules!$C$36:$N$36,MOD(M$4-$B50,12)+1)</f>
        <v>1</v>
      </c>
      <c r="N50" s="5" t="n">
        <f aca="false">INDEX(Rules!$C$36:$N$36,MOD(N$4-$B50,12)+1)</f>
        <v>1</v>
      </c>
      <c r="O50" s="5" t="n">
        <f aca="false">SUM(C50:N50)</f>
        <v>7</v>
      </c>
    </row>
    <row r="51" customFormat="false" ht="15" hidden="false" customHeight="false" outlineLevel="0" collapsed="false">
      <c r="A51" s="3" t="s">
        <v>69</v>
      </c>
      <c r="B51" s="5"/>
      <c r="C51" s="7" t="n">
        <f aca="false">SUM(C43:C50)</f>
        <v>5</v>
      </c>
      <c r="D51" s="7" t="n">
        <f aca="false">SUM(D43:D50)</f>
        <v>5</v>
      </c>
      <c r="E51" s="7" t="n">
        <f aca="false">SUM(E43:E50)</f>
        <v>3</v>
      </c>
      <c r="F51" s="7" t="n">
        <f aca="false">SUM(F43:F50)</f>
        <v>3</v>
      </c>
      <c r="G51" s="7" t="n">
        <f aca="false">SUM(G43:G50)</f>
        <v>4</v>
      </c>
      <c r="H51" s="7" t="n">
        <f aca="false">SUM(H43:H50)</f>
        <v>5</v>
      </c>
      <c r="I51" s="7" t="n">
        <f aca="false">SUM(I43:I50)</f>
        <v>6</v>
      </c>
      <c r="J51" s="7" t="n">
        <f aca="false">SUM(J43:J50)</f>
        <v>4</v>
      </c>
      <c r="K51" s="7" t="n">
        <f aca="false">SUM(K43:K50)</f>
        <v>3</v>
      </c>
      <c r="L51" s="7" t="n">
        <f aca="false">SUM(L43:L50)</f>
        <v>6</v>
      </c>
      <c r="M51" s="7" t="n">
        <f aca="false">SUM(M43:M50)</f>
        <v>4</v>
      </c>
      <c r="N51" s="7" t="n">
        <f aca="false">SUM(N43:N50)</f>
        <v>6</v>
      </c>
      <c r="O51" s="7" t="n">
        <f aca="false">SUM(C51:N51)</f>
        <v>54</v>
      </c>
    </row>
    <row r="54" customFormat="false" ht="15" hidden="false" customHeight="false" outlineLevel="0" collapsed="false">
      <c r="A54" s="6" t="s">
        <v>70</v>
      </c>
      <c r="B54" s="12" t="s">
        <v>61</v>
      </c>
      <c r="O54" s="12" t="s">
        <v>62</v>
      </c>
    </row>
    <row r="55" customFormat="false" ht="15" hidden="false" customHeight="false" outlineLevel="0" collapsed="false">
      <c r="A55" s="11" t="s">
        <v>5</v>
      </c>
      <c r="B55" s="5" t="n">
        <f aca="false">Ashtakavarga!$C$5</f>
        <v>1</v>
      </c>
      <c r="C55" s="5" t="n">
        <f aca="false">INDEX(Rules!$C$37:$N$37,MOD(C$4-$B55,12)+1)</f>
        <v>0</v>
      </c>
      <c r="D55" s="5" t="n">
        <f aca="false">INDEX(Rules!$C$37:$N$37,MOD(D$4-$B55,12)+1)</f>
        <v>1</v>
      </c>
      <c r="E55" s="5" t="n">
        <f aca="false">INDEX(Rules!$C$37:$N$37,MOD(E$4-$B55,12)+1)</f>
        <v>1</v>
      </c>
      <c r="F55" s="5" t="n">
        <f aca="false">INDEX(Rules!$C$37:$N$37,MOD(F$4-$B55,12)+1)</f>
        <v>1</v>
      </c>
      <c r="G55" s="5" t="n">
        <f aca="false">INDEX(Rules!$C$37:$N$37,MOD(G$4-$B55,12)+1)</f>
        <v>1</v>
      </c>
      <c r="H55" s="5" t="n">
        <f aca="false">INDEX(Rules!$C$37:$N$37,MOD(H$4-$B55,12)+1)</f>
        <v>0</v>
      </c>
      <c r="I55" s="5" t="n">
        <f aca="false">INDEX(Rules!$C$37:$N$37,MOD(I$4-$B55,12)+1)</f>
        <v>0</v>
      </c>
      <c r="J55" s="5" t="n">
        <f aca="false">INDEX(Rules!$C$37:$N$37,MOD(J$4-$B55,12)+1)</f>
        <v>1</v>
      </c>
      <c r="K55" s="5" t="n">
        <f aca="false">INDEX(Rules!$C$37:$N$37,MOD(K$4-$B55,12)+1)</f>
        <v>1</v>
      </c>
      <c r="L55" s="5" t="n">
        <f aca="false">INDEX(Rules!$C$37:$N$37,MOD(L$4-$B55,12)+1)</f>
        <v>1</v>
      </c>
      <c r="M55" s="5" t="n">
        <f aca="false">INDEX(Rules!$C$37:$N$37,MOD(M$4-$B55,12)+1)</f>
        <v>1</v>
      </c>
      <c r="N55" s="5" t="n">
        <f aca="false">INDEX(Rules!$C$37:$N$37,MOD(N$4-$B55,12)+1)</f>
        <v>1</v>
      </c>
      <c r="O55" s="5" t="n">
        <f aca="false">SUM(C55:N55)</f>
        <v>9</v>
      </c>
    </row>
    <row r="56" customFormat="false" ht="15" hidden="false" customHeight="false" outlineLevel="0" collapsed="false">
      <c r="A56" s="11" t="s">
        <v>7</v>
      </c>
      <c r="B56" s="5" t="n">
        <f aca="false">Ashtakavarga!$C$6</f>
        <v>8</v>
      </c>
      <c r="C56" s="5" t="n">
        <f aca="false">INDEX(Rules!$C$38:$N$38,MOD(C$4-$B56,12)+1)</f>
        <v>1</v>
      </c>
      <c r="D56" s="5" t="n">
        <f aca="false">INDEX(Rules!$C$38:$N$38,MOD(D$4-$B56,12)+1)</f>
        <v>0</v>
      </c>
      <c r="E56" s="5" t="n">
        <f aca="false">INDEX(Rules!$C$38:$N$38,MOD(E$4-$B56,12)+1)</f>
        <v>1</v>
      </c>
      <c r="F56" s="5" t="n">
        <f aca="false">INDEX(Rules!$C$38:$N$38,MOD(F$4-$B56,12)+1)</f>
        <v>0</v>
      </c>
      <c r="G56" s="5" t="n">
        <f aca="false">INDEX(Rules!$C$38:$N$38,MOD(G$4-$B56,12)+1)</f>
        <v>1</v>
      </c>
      <c r="H56" s="5" t="n">
        <f aca="false">INDEX(Rules!$C$38:$N$38,MOD(H$4-$B56,12)+1)</f>
        <v>0</v>
      </c>
      <c r="I56" s="5" t="n">
        <f aca="false">INDEX(Rules!$C$38:$N$38,MOD(I$4-$B56,12)+1)</f>
        <v>1</v>
      </c>
      <c r="J56" s="5" t="n">
        <f aca="false">INDEX(Rules!$C$38:$N$38,MOD(J$4-$B56,12)+1)</f>
        <v>0</v>
      </c>
      <c r="K56" s="5" t="n">
        <f aca="false">INDEX(Rules!$C$38:$N$38,MOD(K$4-$B56,12)+1)</f>
        <v>0</v>
      </c>
      <c r="L56" s="5" t="n">
        <f aca="false">INDEX(Rules!$C$38:$N$38,MOD(L$4-$B56,12)+1)</f>
        <v>1</v>
      </c>
      <c r="M56" s="5" t="n">
        <f aca="false">INDEX(Rules!$C$38:$N$38,MOD(M$4-$B56,12)+1)</f>
        <v>0</v>
      </c>
      <c r="N56" s="5" t="n">
        <f aca="false">INDEX(Rules!$C$38:$N$38,MOD(N$4-$B56,12)+1)</f>
        <v>0</v>
      </c>
      <c r="O56" s="5" t="n">
        <f aca="false">SUM(C56:N56)</f>
        <v>5</v>
      </c>
    </row>
    <row r="57" customFormat="false" ht="15" hidden="false" customHeight="false" outlineLevel="0" collapsed="false">
      <c r="A57" s="11" t="s">
        <v>9</v>
      </c>
      <c r="B57" s="5" t="n">
        <f aca="false">Ashtakavarga!$C$7</f>
        <v>10</v>
      </c>
      <c r="C57" s="5" t="n">
        <f aca="false">INDEX(Rules!$C$39:$N$39,MOD(C$4-$B57,12)+1)</f>
        <v>0</v>
      </c>
      <c r="D57" s="5" t="n">
        <f aca="false">INDEX(Rules!$C$39:$N$39,MOD(D$4-$B57,12)+1)</f>
        <v>1</v>
      </c>
      <c r="E57" s="5" t="n">
        <f aca="false">INDEX(Rules!$C$39:$N$39,MOD(E$4-$B57,12)+1)</f>
        <v>0</v>
      </c>
      <c r="F57" s="5" t="n">
        <f aca="false">INDEX(Rules!$C$39:$N$39,MOD(F$4-$B57,12)+1)</f>
        <v>0</v>
      </c>
      <c r="G57" s="5" t="n">
        <f aca="false">INDEX(Rules!$C$39:$N$39,MOD(G$4-$B57,12)+1)</f>
        <v>1</v>
      </c>
      <c r="H57" s="5" t="n">
        <f aca="false">INDEX(Rules!$C$39:$N$39,MOD(H$4-$B57,12)+1)</f>
        <v>1</v>
      </c>
      <c r="I57" s="5" t="n">
        <f aca="false">INDEX(Rules!$C$39:$N$39,MOD(I$4-$B57,12)+1)</f>
        <v>0</v>
      </c>
      <c r="J57" s="5" t="n">
        <f aca="false">INDEX(Rules!$C$39:$N$39,MOD(J$4-$B57,12)+1)</f>
        <v>1</v>
      </c>
      <c r="K57" s="5" t="n">
        <f aca="false">INDEX(Rules!$C$39:$N$39,MOD(K$4-$B57,12)+1)</f>
        <v>1</v>
      </c>
      <c r="L57" s="5" t="n">
        <f aca="false">INDEX(Rules!$C$39:$N$39,MOD(L$4-$B57,12)+1)</f>
        <v>0</v>
      </c>
      <c r="M57" s="5" t="n">
        <f aca="false">INDEX(Rules!$C$39:$N$39,MOD(M$4-$B57,12)+1)</f>
        <v>1</v>
      </c>
      <c r="N57" s="5" t="n">
        <f aca="false">INDEX(Rules!$C$39:$N$39,MOD(N$4-$B57,12)+1)</f>
        <v>1</v>
      </c>
      <c r="O57" s="5" t="n">
        <f aca="false">SUM(C57:N57)</f>
        <v>7</v>
      </c>
    </row>
    <row r="58" customFormat="false" ht="15" hidden="false" customHeight="false" outlineLevel="0" collapsed="false">
      <c r="A58" s="11" t="s">
        <v>11</v>
      </c>
      <c r="B58" s="5" t="n">
        <f aca="false">Ashtakavarga!$C$8</f>
        <v>0</v>
      </c>
      <c r="C58" s="5" t="n">
        <f aca="false">INDEX(Rules!$C$40:$N$40,MOD(C$4-$B58,12)+1)</f>
        <v>1</v>
      </c>
      <c r="D58" s="5" t="n">
        <f aca="false">INDEX(Rules!$C$40:$N$40,MOD(D$4-$B58,12)+1)</f>
        <v>1</v>
      </c>
      <c r="E58" s="5" t="n">
        <f aca="false">INDEX(Rules!$C$40:$N$40,MOD(E$4-$B58,12)+1)</f>
        <v>0</v>
      </c>
      <c r="F58" s="5" t="n">
        <f aca="false">INDEX(Rules!$C$40:$N$40,MOD(F$4-$B58,12)+1)</f>
        <v>1</v>
      </c>
      <c r="G58" s="5" t="n">
        <f aca="false">INDEX(Rules!$C$40:$N$40,MOD(G$4-$B58,12)+1)</f>
        <v>1</v>
      </c>
      <c r="H58" s="5" t="n">
        <f aca="false">INDEX(Rules!$C$40:$N$40,MOD(H$4-$B58,12)+1)</f>
        <v>1</v>
      </c>
      <c r="I58" s="5" t="n">
        <f aca="false">INDEX(Rules!$C$40:$N$40,MOD(I$4-$B58,12)+1)</f>
        <v>0</v>
      </c>
      <c r="J58" s="5" t="n">
        <f aca="false">INDEX(Rules!$C$40:$N$40,MOD(J$4-$B58,12)+1)</f>
        <v>0</v>
      </c>
      <c r="K58" s="5" t="n">
        <f aca="false">INDEX(Rules!$C$40:$N$40,MOD(K$4-$B58,12)+1)</f>
        <v>1</v>
      </c>
      <c r="L58" s="5" t="n">
        <f aca="false">INDEX(Rules!$C$40:$N$40,MOD(L$4-$B58,12)+1)</f>
        <v>1</v>
      </c>
      <c r="M58" s="5" t="n">
        <f aca="false">INDEX(Rules!$C$40:$N$40,MOD(M$4-$B58,12)+1)</f>
        <v>1</v>
      </c>
      <c r="N58" s="5" t="n">
        <f aca="false">INDEX(Rules!$C$40:$N$40,MOD(N$4-$B58,12)+1)</f>
        <v>0</v>
      </c>
      <c r="O58" s="5" t="n">
        <f aca="false">SUM(C58:N58)</f>
        <v>8</v>
      </c>
    </row>
    <row r="59" customFormat="false" ht="15" hidden="false" customHeight="false" outlineLevel="0" collapsed="false">
      <c r="A59" s="11" t="s">
        <v>13</v>
      </c>
      <c r="B59" s="5" t="n">
        <f aca="false">Ashtakavarga!$C$9</f>
        <v>2</v>
      </c>
      <c r="C59" s="5" t="n">
        <f aca="false">INDEX(Rules!$C$41:$N$41,MOD(C$4-$B59,12)+1)</f>
        <v>1</v>
      </c>
      <c r="D59" s="5" t="n">
        <f aca="false">INDEX(Rules!$C$41:$N$41,MOD(D$4-$B59,12)+1)</f>
        <v>0</v>
      </c>
      <c r="E59" s="5" t="n">
        <f aca="false">INDEX(Rules!$C$41:$N$41,MOD(E$4-$B59,12)+1)</f>
        <v>1</v>
      </c>
      <c r="F59" s="5" t="n">
        <f aca="false">INDEX(Rules!$C$41:$N$41,MOD(F$4-$B59,12)+1)</f>
        <v>1</v>
      </c>
      <c r="G59" s="5" t="n">
        <f aca="false">INDEX(Rules!$C$41:$N$41,MOD(G$4-$B59,12)+1)</f>
        <v>1</v>
      </c>
      <c r="H59" s="5" t="n">
        <f aca="false">INDEX(Rules!$C$41:$N$41,MOD(H$4-$B59,12)+1)</f>
        <v>1</v>
      </c>
      <c r="I59" s="5" t="n">
        <f aca="false">INDEX(Rules!$C$41:$N$41,MOD(I$4-$B59,12)+1)</f>
        <v>0</v>
      </c>
      <c r="J59" s="5" t="n">
        <f aca="false">INDEX(Rules!$C$41:$N$41,MOD(J$4-$B59,12)+1)</f>
        <v>0</v>
      </c>
      <c r="K59" s="5" t="n">
        <f aca="false">INDEX(Rules!$C$41:$N$41,MOD(K$4-$B59,12)+1)</f>
        <v>1</v>
      </c>
      <c r="L59" s="5" t="n">
        <f aca="false">INDEX(Rules!$C$41:$N$41,MOD(L$4-$B59,12)+1)</f>
        <v>1</v>
      </c>
      <c r="M59" s="5" t="n">
        <f aca="false">INDEX(Rules!$C$41:$N$41,MOD(M$4-$B59,12)+1)</f>
        <v>0</v>
      </c>
      <c r="N59" s="5" t="n">
        <f aca="false">INDEX(Rules!$C$41:$N$41,MOD(N$4-$B59,12)+1)</f>
        <v>1</v>
      </c>
      <c r="O59" s="5" t="n">
        <f aca="false">SUM(C59:N59)</f>
        <v>8</v>
      </c>
    </row>
    <row r="60" customFormat="false" ht="15" hidden="false" customHeight="false" outlineLevel="0" collapsed="false">
      <c r="A60" s="11" t="s">
        <v>15</v>
      </c>
      <c r="B60" s="5" t="n">
        <f aca="false">Ashtakavarga!$C$10</f>
        <v>11</v>
      </c>
      <c r="C60" s="5" t="n">
        <f aca="false">INDEX(Rules!$C$42:$N$42,MOD(C$4-$B60,12)+1)</f>
        <v>1</v>
      </c>
      <c r="D60" s="5" t="n">
        <f aca="false">INDEX(Rules!$C$42:$N$42,MOD(D$4-$B60,12)+1)</f>
        <v>0</v>
      </c>
      <c r="E60" s="5" t="n">
        <f aca="false">INDEX(Rules!$C$42:$N$42,MOD(E$4-$B60,12)+1)</f>
        <v>0</v>
      </c>
      <c r="F60" s="5" t="n">
        <f aca="false">INDEX(Rules!$C$42:$N$42,MOD(F$4-$B60,12)+1)</f>
        <v>1</v>
      </c>
      <c r="G60" s="5" t="n">
        <f aca="false">INDEX(Rules!$C$42:$N$42,MOD(G$4-$B60,12)+1)</f>
        <v>1</v>
      </c>
      <c r="H60" s="5" t="n">
        <f aca="false">INDEX(Rules!$C$42:$N$42,MOD(H$4-$B60,12)+1)</f>
        <v>0</v>
      </c>
      <c r="I60" s="5" t="n">
        <f aca="false">INDEX(Rules!$C$42:$N$42,MOD(I$4-$B60,12)+1)</f>
        <v>0</v>
      </c>
      <c r="J60" s="5" t="n">
        <f aca="false">INDEX(Rules!$C$42:$N$42,MOD(J$4-$B60,12)+1)</f>
        <v>1</v>
      </c>
      <c r="K60" s="5" t="n">
        <f aca="false">INDEX(Rules!$C$42:$N$42,MOD(K$4-$B60,12)+1)</f>
        <v>1</v>
      </c>
      <c r="L60" s="5" t="n">
        <f aca="false">INDEX(Rules!$C$42:$N$42,MOD(L$4-$B60,12)+1)</f>
        <v>1</v>
      </c>
      <c r="M60" s="5" t="n">
        <f aca="false">INDEX(Rules!$C$42:$N$42,MOD(M$4-$B60,12)+1)</f>
        <v>0</v>
      </c>
      <c r="N60" s="5" t="n">
        <f aca="false">INDEX(Rules!$C$42:$N$42,MOD(N$4-$B60,12)+1)</f>
        <v>0</v>
      </c>
      <c r="O60" s="5" t="n">
        <f aca="false">SUM(C60:N60)</f>
        <v>6</v>
      </c>
    </row>
    <row r="61" customFormat="false" ht="15" hidden="false" customHeight="false" outlineLevel="0" collapsed="false">
      <c r="A61" s="11" t="s">
        <v>17</v>
      </c>
      <c r="B61" s="5" t="n">
        <f aca="false">Ashtakavarga!$C$11</f>
        <v>9</v>
      </c>
      <c r="C61" s="5" t="n">
        <f aca="false">INDEX(Rules!$C$43:$N$43,MOD(C$4-$B61,12)+1)</f>
        <v>0</v>
      </c>
      <c r="D61" s="5" t="n">
        <f aca="false">INDEX(Rules!$C$43:$N$43,MOD(D$4-$B61,12)+1)</f>
        <v>1</v>
      </c>
      <c r="E61" s="5" t="n">
        <f aca="false">INDEX(Rules!$C$43:$N$43,MOD(E$4-$B61,12)+1)</f>
        <v>1</v>
      </c>
      <c r="F61" s="5" t="n">
        <f aca="false">INDEX(Rules!$C$43:$N$43,MOD(F$4-$B61,12)+1)</f>
        <v>0</v>
      </c>
      <c r="G61" s="5" t="n">
        <f aca="false">INDEX(Rules!$C$43:$N$43,MOD(G$4-$B61,12)+1)</f>
        <v>0</v>
      </c>
      <c r="H61" s="5" t="n">
        <f aca="false">INDEX(Rules!$C$43:$N$43,MOD(H$4-$B61,12)+1)</f>
        <v>0</v>
      </c>
      <c r="I61" s="5" t="n">
        <f aca="false">INDEX(Rules!$C$43:$N$43,MOD(I$4-$B61,12)+1)</f>
        <v>0</v>
      </c>
      <c r="J61" s="5" t="n">
        <f aca="false">INDEX(Rules!$C$43:$N$43,MOD(J$4-$B61,12)+1)</f>
        <v>0</v>
      </c>
      <c r="K61" s="5" t="n">
        <f aca="false">INDEX(Rules!$C$43:$N$43,MOD(K$4-$B61,12)+1)</f>
        <v>1</v>
      </c>
      <c r="L61" s="5" t="n">
        <f aca="false">INDEX(Rules!$C$43:$N$43,MOD(L$4-$B61,12)+1)</f>
        <v>0</v>
      </c>
      <c r="M61" s="5" t="n">
        <f aca="false">INDEX(Rules!$C$43:$N$43,MOD(M$4-$B61,12)+1)</f>
        <v>0</v>
      </c>
      <c r="N61" s="5" t="n">
        <f aca="false">INDEX(Rules!$C$43:$N$43,MOD(N$4-$B61,12)+1)</f>
        <v>1</v>
      </c>
      <c r="O61" s="5" t="n">
        <f aca="false">SUM(C61:N61)</f>
        <v>4</v>
      </c>
    </row>
    <row r="62" customFormat="false" ht="15" hidden="false" customHeight="false" outlineLevel="0" collapsed="false">
      <c r="A62" s="11" t="s">
        <v>19</v>
      </c>
      <c r="B62" s="5" t="n">
        <f aca="false">Ashtakavarga!$C$12</f>
        <v>1</v>
      </c>
      <c r="C62" s="5" t="n">
        <f aca="false">INDEX(Rules!$C$44:$N$44,MOD(C$4-$B62,12)+1)</f>
        <v>0</v>
      </c>
      <c r="D62" s="5" t="n">
        <f aca="false">INDEX(Rules!$C$44:$N$44,MOD(D$4-$B62,12)+1)</f>
        <v>1</v>
      </c>
      <c r="E62" s="5" t="n">
        <f aca="false">INDEX(Rules!$C$44:$N$44,MOD(E$4-$B62,12)+1)</f>
        <v>1</v>
      </c>
      <c r="F62" s="5" t="n">
        <f aca="false">INDEX(Rules!$C$44:$N$44,MOD(F$4-$B62,12)+1)</f>
        <v>0</v>
      </c>
      <c r="G62" s="5" t="n">
        <f aca="false">INDEX(Rules!$C$44:$N$44,MOD(G$4-$B62,12)+1)</f>
        <v>1</v>
      </c>
      <c r="H62" s="5" t="n">
        <f aca="false">INDEX(Rules!$C$44:$N$44,MOD(H$4-$B62,12)+1)</f>
        <v>1</v>
      </c>
      <c r="I62" s="5" t="n">
        <f aca="false">INDEX(Rules!$C$44:$N$44,MOD(I$4-$B62,12)+1)</f>
        <v>1</v>
      </c>
      <c r="J62" s="5" t="n">
        <f aca="false">INDEX(Rules!$C$44:$N$44,MOD(J$4-$B62,12)+1)</f>
        <v>1</v>
      </c>
      <c r="K62" s="5" t="n">
        <f aca="false">INDEX(Rules!$C$44:$N$44,MOD(K$4-$B62,12)+1)</f>
        <v>0</v>
      </c>
      <c r="L62" s="5" t="n">
        <f aca="false">INDEX(Rules!$C$44:$N$44,MOD(L$4-$B62,12)+1)</f>
        <v>1</v>
      </c>
      <c r="M62" s="5" t="n">
        <f aca="false">INDEX(Rules!$C$44:$N$44,MOD(M$4-$B62,12)+1)</f>
        <v>1</v>
      </c>
      <c r="N62" s="5" t="n">
        <f aca="false">INDEX(Rules!$C$44:$N$44,MOD(N$4-$B62,12)+1)</f>
        <v>1</v>
      </c>
      <c r="O62" s="5" t="n">
        <f aca="false">SUM(C62:N62)</f>
        <v>9</v>
      </c>
    </row>
    <row r="63" customFormat="false" ht="15" hidden="false" customHeight="false" outlineLevel="0" collapsed="false">
      <c r="A63" s="3" t="s">
        <v>71</v>
      </c>
      <c r="B63" s="5"/>
      <c r="C63" s="7" t="n">
        <f aca="false">SUM(C55:C62)</f>
        <v>4</v>
      </c>
      <c r="D63" s="7" t="n">
        <f aca="false">SUM(D55:D62)</f>
        <v>5</v>
      </c>
      <c r="E63" s="7" t="n">
        <f aca="false">SUM(E55:E62)</f>
        <v>5</v>
      </c>
      <c r="F63" s="7" t="n">
        <f aca="false">SUM(F55:F62)</f>
        <v>4</v>
      </c>
      <c r="G63" s="7" t="n">
        <f aca="false">SUM(G55:G62)</f>
        <v>7</v>
      </c>
      <c r="H63" s="7" t="n">
        <f aca="false">SUM(H55:H62)</f>
        <v>4</v>
      </c>
      <c r="I63" s="7" t="n">
        <f aca="false">SUM(I55:I62)</f>
        <v>2</v>
      </c>
      <c r="J63" s="7" t="n">
        <f aca="false">SUM(J55:J62)</f>
        <v>4</v>
      </c>
      <c r="K63" s="7" t="n">
        <f aca="false">SUM(K55:K62)</f>
        <v>6</v>
      </c>
      <c r="L63" s="7" t="n">
        <f aca="false">SUM(L55:L62)</f>
        <v>6</v>
      </c>
      <c r="M63" s="7" t="n">
        <f aca="false">SUM(M55:M62)</f>
        <v>4</v>
      </c>
      <c r="N63" s="7" t="n">
        <f aca="false">SUM(N55:N62)</f>
        <v>5</v>
      </c>
      <c r="O63" s="7" t="n">
        <f aca="false">SUM(C63:N63)</f>
        <v>56</v>
      </c>
    </row>
    <row r="66" customFormat="false" ht="15" hidden="false" customHeight="false" outlineLevel="0" collapsed="false">
      <c r="A66" s="6" t="s">
        <v>72</v>
      </c>
      <c r="B66" s="12" t="s">
        <v>61</v>
      </c>
      <c r="O66" s="12" t="s">
        <v>62</v>
      </c>
    </row>
    <row r="67" customFormat="false" ht="15" hidden="false" customHeight="false" outlineLevel="0" collapsed="false">
      <c r="A67" s="11" t="s">
        <v>5</v>
      </c>
      <c r="B67" s="5" t="n">
        <f aca="false">Ashtakavarga!$C$5</f>
        <v>1</v>
      </c>
      <c r="C67" s="5" t="n">
        <f aca="false">INDEX(Rules!$C$45:$N$45,MOD(C$4-$B67,12)+1)</f>
        <v>1</v>
      </c>
      <c r="D67" s="5" t="n">
        <f aca="false">INDEX(Rules!$C$45:$N$45,MOD(D$4-$B67,12)+1)</f>
        <v>0</v>
      </c>
      <c r="E67" s="5" t="n">
        <f aca="false">INDEX(Rules!$C$45:$N$45,MOD(E$4-$B67,12)+1)</f>
        <v>0</v>
      </c>
      <c r="F67" s="5" t="n">
        <f aca="false">INDEX(Rules!$C$45:$N$45,MOD(F$4-$B67,12)+1)</f>
        <v>0</v>
      </c>
      <c r="G67" s="5" t="n">
        <f aca="false">INDEX(Rules!$C$45:$N$45,MOD(G$4-$B67,12)+1)</f>
        <v>0</v>
      </c>
      <c r="H67" s="5" t="n">
        <f aca="false">INDEX(Rules!$C$45:$N$45,MOD(H$4-$B67,12)+1)</f>
        <v>0</v>
      </c>
      <c r="I67" s="5" t="n">
        <f aca="false">INDEX(Rules!$C$45:$N$45,MOD(I$4-$B67,12)+1)</f>
        <v>0</v>
      </c>
      <c r="J67" s="5" t="n">
        <f aca="false">INDEX(Rules!$C$45:$N$45,MOD(J$4-$B67,12)+1)</f>
        <v>0</v>
      </c>
      <c r="K67" s="5" t="n">
        <f aca="false">INDEX(Rules!$C$45:$N$45,MOD(K$4-$B67,12)+1)</f>
        <v>1</v>
      </c>
      <c r="L67" s="5" t="n">
        <f aca="false">INDEX(Rules!$C$45:$N$45,MOD(L$4-$B67,12)+1)</f>
        <v>0</v>
      </c>
      <c r="M67" s="5" t="n">
        <f aca="false">INDEX(Rules!$C$45:$N$45,MOD(M$4-$B67,12)+1)</f>
        <v>0</v>
      </c>
      <c r="N67" s="5" t="n">
        <f aca="false">INDEX(Rules!$C$45:$N$45,MOD(N$4-$B67,12)+1)</f>
        <v>1</v>
      </c>
      <c r="O67" s="5" t="n">
        <f aca="false">SUM(C67:N67)</f>
        <v>3</v>
      </c>
    </row>
    <row r="68" customFormat="false" ht="15" hidden="false" customHeight="false" outlineLevel="0" collapsed="false">
      <c r="A68" s="11" t="s">
        <v>7</v>
      </c>
      <c r="B68" s="5" t="n">
        <f aca="false">Ashtakavarga!$C$6</f>
        <v>8</v>
      </c>
      <c r="C68" s="5" t="n">
        <f aca="false">INDEX(Rules!$C$46:$N$46,MOD(C$4-$B68,12)+1)</f>
        <v>1</v>
      </c>
      <c r="D68" s="5" t="n">
        <f aca="false">INDEX(Rules!$C$46:$N$46,MOD(D$4-$B68,12)+1)</f>
        <v>0</v>
      </c>
      <c r="E68" s="5" t="n">
        <f aca="false">INDEX(Rules!$C$46:$N$46,MOD(E$4-$B68,12)+1)</f>
        <v>0</v>
      </c>
      <c r="F68" s="5" t="n">
        <f aca="false">INDEX(Rules!$C$46:$N$46,MOD(F$4-$B68,12)+1)</f>
        <v>1</v>
      </c>
      <c r="G68" s="5" t="n">
        <f aca="false">INDEX(Rules!$C$46:$N$46,MOD(G$4-$B68,12)+1)</f>
        <v>1</v>
      </c>
      <c r="H68" s="5" t="n">
        <f aca="false">INDEX(Rules!$C$46:$N$46,MOD(H$4-$B68,12)+1)</f>
        <v>0</v>
      </c>
      <c r="I68" s="5" t="n">
        <f aca="false">INDEX(Rules!$C$46:$N$46,MOD(I$4-$B68,12)+1)</f>
        <v>1</v>
      </c>
      <c r="J68" s="5" t="n">
        <f aca="false">INDEX(Rules!$C$46:$N$46,MOD(J$4-$B68,12)+1)</f>
        <v>1</v>
      </c>
      <c r="K68" s="5" t="n">
        <f aca="false">INDEX(Rules!$C$46:$N$46,MOD(K$4-$B68,12)+1)</f>
        <v>1</v>
      </c>
      <c r="L68" s="5" t="n">
        <f aca="false">INDEX(Rules!$C$46:$N$46,MOD(L$4-$B68,12)+1)</f>
        <v>1</v>
      </c>
      <c r="M68" s="5" t="n">
        <f aca="false">INDEX(Rules!$C$46:$N$46,MOD(M$4-$B68,12)+1)</f>
        <v>1</v>
      </c>
      <c r="N68" s="5" t="n">
        <f aca="false">INDEX(Rules!$C$46:$N$46,MOD(N$4-$B68,12)+1)</f>
        <v>1</v>
      </c>
      <c r="O68" s="5" t="n">
        <f aca="false">SUM(C68:N68)</f>
        <v>9</v>
      </c>
    </row>
    <row r="69" customFormat="false" ht="15" hidden="false" customHeight="false" outlineLevel="0" collapsed="false">
      <c r="A69" s="11" t="s">
        <v>9</v>
      </c>
      <c r="B69" s="5" t="n">
        <f aca="false">Ashtakavarga!$C$7</f>
        <v>10</v>
      </c>
      <c r="C69" s="5" t="n">
        <f aca="false">INDEX(Rules!$C$47:$N$47,MOD(C$4-$B69,12)+1)</f>
        <v>1</v>
      </c>
      <c r="D69" s="5" t="n">
        <f aca="false">INDEX(Rules!$C$47:$N$47,MOD(D$4-$B69,12)+1)</f>
        <v>1</v>
      </c>
      <c r="E69" s="5" t="n">
        <f aca="false">INDEX(Rules!$C$47:$N$47,MOD(E$4-$B69,12)+1)</f>
        <v>0</v>
      </c>
      <c r="F69" s="5" t="n">
        <f aca="false">INDEX(Rules!$C$47:$N$47,MOD(F$4-$B69,12)+1)</f>
        <v>1</v>
      </c>
      <c r="G69" s="5" t="n">
        <f aca="false">INDEX(Rules!$C$47:$N$47,MOD(G$4-$B69,12)+1)</f>
        <v>0</v>
      </c>
      <c r="H69" s="5" t="n">
        <f aca="false">INDEX(Rules!$C$47:$N$47,MOD(H$4-$B69,12)+1)</f>
        <v>0</v>
      </c>
      <c r="I69" s="5" t="n">
        <f aca="false">INDEX(Rules!$C$47:$N$47,MOD(I$4-$B69,12)+1)</f>
        <v>1</v>
      </c>
      <c r="J69" s="5" t="n">
        <f aca="false">INDEX(Rules!$C$47:$N$47,MOD(J$4-$B69,12)+1)</f>
        <v>0</v>
      </c>
      <c r="K69" s="5" t="n">
        <f aca="false">INDEX(Rules!$C$47:$N$47,MOD(K$4-$B69,12)+1)</f>
        <v>1</v>
      </c>
      <c r="L69" s="5" t="n">
        <f aca="false">INDEX(Rules!$C$47:$N$47,MOD(L$4-$B69,12)+1)</f>
        <v>1</v>
      </c>
      <c r="M69" s="5" t="n">
        <f aca="false">INDEX(Rules!$C$47:$N$47,MOD(M$4-$B69,12)+1)</f>
        <v>0</v>
      </c>
      <c r="N69" s="5" t="n">
        <f aca="false">INDEX(Rules!$C$47:$N$47,MOD(N$4-$B69,12)+1)</f>
        <v>0</v>
      </c>
      <c r="O69" s="5" t="n">
        <f aca="false">SUM(C69:N69)</f>
        <v>6</v>
      </c>
    </row>
    <row r="70" customFormat="false" ht="15" hidden="false" customHeight="false" outlineLevel="0" collapsed="false">
      <c r="A70" s="11" t="s">
        <v>11</v>
      </c>
      <c r="B70" s="5" t="n">
        <f aca="false">Ashtakavarga!$C$8</f>
        <v>0</v>
      </c>
      <c r="C70" s="5" t="n">
        <f aca="false">INDEX(Rules!$C$48:$N$48,MOD(C$4-$B70,12)+1)</f>
        <v>0</v>
      </c>
      <c r="D70" s="5" t="n">
        <f aca="false">INDEX(Rules!$C$48:$N$48,MOD(D$4-$B70,12)+1)</f>
        <v>0</v>
      </c>
      <c r="E70" s="5" t="n">
        <f aca="false">INDEX(Rules!$C$48:$N$48,MOD(E$4-$B70,12)+1)</f>
        <v>1</v>
      </c>
      <c r="F70" s="5" t="n">
        <f aca="false">INDEX(Rules!$C$48:$N$48,MOD(F$4-$B70,12)+1)</f>
        <v>0</v>
      </c>
      <c r="G70" s="5" t="n">
        <f aca="false">INDEX(Rules!$C$48:$N$48,MOD(G$4-$B70,12)+1)</f>
        <v>1</v>
      </c>
      <c r="H70" s="5" t="n">
        <f aca="false">INDEX(Rules!$C$48:$N$48,MOD(H$4-$B70,12)+1)</f>
        <v>1</v>
      </c>
      <c r="I70" s="5" t="n">
        <f aca="false">INDEX(Rules!$C$48:$N$48,MOD(I$4-$B70,12)+1)</f>
        <v>0</v>
      </c>
      <c r="J70" s="5" t="n">
        <f aca="false">INDEX(Rules!$C$48:$N$48,MOD(J$4-$B70,12)+1)</f>
        <v>0</v>
      </c>
      <c r="K70" s="5" t="n">
        <f aca="false">INDEX(Rules!$C$48:$N$48,MOD(K$4-$B70,12)+1)</f>
        <v>1</v>
      </c>
      <c r="L70" s="5" t="n">
        <f aca="false">INDEX(Rules!$C$48:$N$48,MOD(L$4-$B70,12)+1)</f>
        <v>0</v>
      </c>
      <c r="M70" s="5" t="n">
        <f aca="false">INDEX(Rules!$C$48:$N$48,MOD(M$4-$B70,12)+1)</f>
        <v>1</v>
      </c>
      <c r="N70" s="5" t="n">
        <f aca="false">INDEX(Rules!$C$48:$N$48,MOD(N$4-$B70,12)+1)</f>
        <v>0</v>
      </c>
      <c r="O70" s="5" t="n">
        <f aca="false">SUM(C70:N70)</f>
        <v>5</v>
      </c>
    </row>
    <row r="71" customFormat="false" ht="15" hidden="false" customHeight="false" outlineLevel="0" collapsed="false">
      <c r="A71" s="11" t="s">
        <v>13</v>
      </c>
      <c r="B71" s="5" t="n">
        <f aca="false">Ashtakavarga!$C$9</f>
        <v>2</v>
      </c>
      <c r="C71" s="5" t="n">
        <f aca="false">INDEX(Rules!$C$49:$N$49,MOD(C$4-$B71,12)+1)</f>
        <v>1</v>
      </c>
      <c r="D71" s="5" t="n">
        <f aca="false">INDEX(Rules!$C$49:$N$49,MOD(D$4-$B71,12)+1)</f>
        <v>0</v>
      </c>
      <c r="E71" s="5" t="n">
        <f aca="false">INDEX(Rules!$C$49:$N$49,MOD(E$4-$B71,12)+1)</f>
        <v>0</v>
      </c>
      <c r="F71" s="5" t="n">
        <f aca="false">INDEX(Rules!$C$49:$N$49,MOD(F$4-$B71,12)+1)</f>
        <v>0</v>
      </c>
      <c r="G71" s="5" t="n">
        <f aca="false">INDEX(Rules!$C$49:$N$49,MOD(G$4-$B71,12)+1)</f>
        <v>0</v>
      </c>
      <c r="H71" s="5" t="n">
        <f aca="false">INDEX(Rules!$C$49:$N$49,MOD(H$4-$B71,12)+1)</f>
        <v>0</v>
      </c>
      <c r="I71" s="5" t="n">
        <f aca="false">INDEX(Rules!$C$49:$N$49,MOD(I$4-$B71,12)+1)</f>
        <v>1</v>
      </c>
      <c r="J71" s="5" t="n">
        <f aca="false">INDEX(Rules!$C$49:$N$49,MOD(J$4-$B71,12)+1)</f>
        <v>0</v>
      </c>
      <c r="K71" s="5" t="n">
        <f aca="false">INDEX(Rules!$C$49:$N$49,MOD(K$4-$B71,12)+1)</f>
        <v>0</v>
      </c>
      <c r="L71" s="5" t="n">
        <f aca="false">INDEX(Rules!$C$49:$N$49,MOD(L$4-$B71,12)+1)</f>
        <v>1</v>
      </c>
      <c r="M71" s="5" t="n">
        <f aca="false">INDEX(Rules!$C$49:$N$49,MOD(M$4-$B71,12)+1)</f>
        <v>1</v>
      </c>
      <c r="N71" s="5" t="n">
        <f aca="false">INDEX(Rules!$C$49:$N$49,MOD(N$4-$B71,12)+1)</f>
        <v>1</v>
      </c>
      <c r="O71" s="5" t="n">
        <f aca="false">SUM(C71:N71)</f>
        <v>5</v>
      </c>
    </row>
    <row r="72" customFormat="false" ht="15" hidden="false" customHeight="false" outlineLevel="0" collapsed="false">
      <c r="A72" s="11" t="s">
        <v>15</v>
      </c>
      <c r="B72" s="5" t="n">
        <f aca="false">Ashtakavarga!$C$10</f>
        <v>11</v>
      </c>
      <c r="C72" s="5" t="n">
        <f aca="false">INDEX(Rules!$C$50:$N$50,MOD(C$4-$B72,12)+1)</f>
        <v>1</v>
      </c>
      <c r="D72" s="5" t="n">
        <f aca="false">INDEX(Rules!$C$50:$N$50,MOD(D$4-$B72,12)+1)</f>
        <v>1</v>
      </c>
      <c r="E72" s="5" t="n">
        <f aca="false">INDEX(Rules!$C$50:$N$50,MOD(E$4-$B72,12)+1)</f>
        <v>1</v>
      </c>
      <c r="F72" s="5" t="n">
        <f aca="false">INDEX(Rules!$C$50:$N$50,MOD(F$4-$B72,12)+1)</f>
        <v>1</v>
      </c>
      <c r="G72" s="5" t="n">
        <f aca="false">INDEX(Rules!$C$50:$N$50,MOD(G$4-$B72,12)+1)</f>
        <v>0</v>
      </c>
      <c r="H72" s="5" t="n">
        <f aca="false">INDEX(Rules!$C$50:$N$50,MOD(H$4-$B72,12)+1)</f>
        <v>0</v>
      </c>
      <c r="I72" s="5" t="n">
        <f aca="false">INDEX(Rules!$C$50:$N$50,MOD(I$4-$B72,12)+1)</f>
        <v>1</v>
      </c>
      <c r="J72" s="5" t="n">
        <f aca="false">INDEX(Rules!$C$50:$N$50,MOD(J$4-$B72,12)+1)</f>
        <v>1</v>
      </c>
      <c r="K72" s="5" t="n">
        <f aca="false">INDEX(Rules!$C$50:$N$50,MOD(K$4-$B72,12)+1)</f>
        <v>1</v>
      </c>
      <c r="L72" s="5" t="n">
        <f aca="false">INDEX(Rules!$C$50:$N$50,MOD(L$4-$B72,12)+1)</f>
        <v>1</v>
      </c>
      <c r="M72" s="5" t="n">
        <f aca="false">INDEX(Rules!$C$50:$N$50,MOD(M$4-$B72,12)+1)</f>
        <v>0</v>
      </c>
      <c r="N72" s="5" t="n">
        <f aca="false">INDEX(Rules!$C$50:$N$50,MOD(N$4-$B72,12)+1)</f>
        <v>1</v>
      </c>
      <c r="O72" s="5" t="n">
        <f aca="false">SUM(C72:N72)</f>
        <v>9</v>
      </c>
    </row>
    <row r="73" customFormat="false" ht="15" hidden="false" customHeight="false" outlineLevel="0" collapsed="false">
      <c r="A73" s="11" t="s">
        <v>17</v>
      </c>
      <c r="B73" s="5" t="n">
        <f aca="false">Ashtakavarga!$C$11</f>
        <v>9</v>
      </c>
      <c r="C73" s="5" t="n">
        <f aca="false">INDEX(Rules!$C$51:$N$51,MOD(C$4-$B73,12)+1)</f>
        <v>1</v>
      </c>
      <c r="D73" s="5" t="n">
        <f aca="false">INDEX(Rules!$C$51:$N$51,MOD(D$4-$B73,12)+1)</f>
        <v>1</v>
      </c>
      <c r="E73" s="5" t="n">
        <f aca="false">INDEX(Rules!$C$51:$N$51,MOD(E$4-$B73,12)+1)</f>
        <v>0</v>
      </c>
      <c r="F73" s="5" t="n">
        <f aca="false">INDEX(Rules!$C$51:$N$51,MOD(F$4-$B73,12)+1)</f>
        <v>0</v>
      </c>
      <c r="G73" s="5" t="n">
        <f aca="false">INDEX(Rules!$C$51:$N$51,MOD(G$4-$B73,12)+1)</f>
        <v>1</v>
      </c>
      <c r="H73" s="5" t="n">
        <f aca="false">INDEX(Rules!$C$51:$N$51,MOD(H$4-$B73,12)+1)</f>
        <v>1</v>
      </c>
      <c r="I73" s="5" t="n">
        <f aca="false">INDEX(Rules!$C$51:$N$51,MOD(I$4-$B73,12)+1)</f>
        <v>1</v>
      </c>
      <c r="J73" s="5" t="n">
        <f aca="false">INDEX(Rules!$C$51:$N$51,MOD(J$4-$B73,12)+1)</f>
        <v>1</v>
      </c>
      <c r="K73" s="5" t="n">
        <f aca="false">INDEX(Rules!$C$51:$N$51,MOD(K$4-$B73,12)+1)</f>
        <v>0</v>
      </c>
      <c r="L73" s="5" t="n">
        <f aca="false">INDEX(Rules!$C$51:$N$51,MOD(L$4-$B73,12)+1)</f>
        <v>0</v>
      </c>
      <c r="M73" s="5" t="n">
        <f aca="false">INDEX(Rules!$C$51:$N$51,MOD(M$4-$B73,12)+1)</f>
        <v>0</v>
      </c>
      <c r="N73" s="5" t="n">
        <f aca="false">INDEX(Rules!$C$51:$N$51,MOD(N$4-$B73,12)+1)</f>
        <v>1</v>
      </c>
      <c r="O73" s="5" t="n">
        <f aca="false">SUM(C73:N73)</f>
        <v>7</v>
      </c>
    </row>
    <row r="74" customFormat="false" ht="15" hidden="false" customHeight="false" outlineLevel="0" collapsed="false">
      <c r="A74" s="11" t="s">
        <v>19</v>
      </c>
      <c r="B74" s="5" t="n">
        <f aca="false">Ashtakavarga!$C$12</f>
        <v>1</v>
      </c>
      <c r="C74" s="5" t="n">
        <f aca="false">INDEX(Rules!$C$52:$N$52,MOD(C$4-$B74,12)+1)</f>
        <v>0</v>
      </c>
      <c r="D74" s="5" t="n">
        <f aca="false">INDEX(Rules!$C$52:$N$52,MOD(D$4-$B74,12)+1)</f>
        <v>1</v>
      </c>
      <c r="E74" s="5" t="n">
        <f aca="false">INDEX(Rules!$C$52:$N$52,MOD(E$4-$B74,12)+1)</f>
        <v>1</v>
      </c>
      <c r="F74" s="5" t="n">
        <f aca="false">INDEX(Rules!$C$52:$N$52,MOD(F$4-$B74,12)+1)</f>
        <v>1</v>
      </c>
      <c r="G74" s="5" t="n">
        <f aca="false">INDEX(Rules!$C$52:$N$52,MOD(G$4-$B74,12)+1)</f>
        <v>1</v>
      </c>
      <c r="H74" s="5" t="n">
        <f aca="false">INDEX(Rules!$C$52:$N$52,MOD(H$4-$B74,12)+1)</f>
        <v>1</v>
      </c>
      <c r="I74" s="5" t="n">
        <f aca="false">INDEX(Rules!$C$52:$N$52,MOD(I$4-$B74,12)+1)</f>
        <v>0</v>
      </c>
      <c r="J74" s="5" t="n">
        <f aca="false">INDEX(Rules!$C$52:$N$52,MOD(J$4-$B74,12)+1)</f>
        <v>0</v>
      </c>
      <c r="K74" s="5" t="n">
        <f aca="false">INDEX(Rules!$C$52:$N$52,MOD(K$4-$B74,12)+1)</f>
        <v>1</v>
      </c>
      <c r="L74" s="5" t="n">
        <f aca="false">INDEX(Rules!$C$52:$N$52,MOD(L$4-$B74,12)+1)</f>
        <v>1</v>
      </c>
      <c r="M74" s="5" t="n">
        <f aca="false">INDEX(Rules!$C$52:$N$52,MOD(M$4-$B74,12)+1)</f>
        <v>0</v>
      </c>
      <c r="N74" s="5" t="n">
        <f aca="false">INDEX(Rules!$C$52:$N$52,MOD(N$4-$B74,12)+1)</f>
        <v>1</v>
      </c>
      <c r="O74" s="5" t="n">
        <f aca="false">SUM(C74:N74)</f>
        <v>8</v>
      </c>
    </row>
    <row r="75" customFormat="false" ht="15" hidden="false" customHeight="false" outlineLevel="0" collapsed="false">
      <c r="A75" s="3" t="s">
        <v>73</v>
      </c>
      <c r="B75" s="5"/>
      <c r="C75" s="7" t="n">
        <f aca="false">SUM(C67:C74)</f>
        <v>6</v>
      </c>
      <c r="D75" s="7" t="n">
        <f aca="false">SUM(D67:D74)</f>
        <v>4</v>
      </c>
      <c r="E75" s="7" t="n">
        <f aca="false">SUM(E67:E74)</f>
        <v>3</v>
      </c>
      <c r="F75" s="7" t="n">
        <f aca="false">SUM(F67:F74)</f>
        <v>4</v>
      </c>
      <c r="G75" s="7" t="n">
        <f aca="false">SUM(G67:G74)</f>
        <v>4</v>
      </c>
      <c r="H75" s="7" t="n">
        <f aca="false">SUM(H67:H74)</f>
        <v>3</v>
      </c>
      <c r="I75" s="7" t="n">
        <f aca="false">SUM(I67:I74)</f>
        <v>5</v>
      </c>
      <c r="J75" s="7" t="n">
        <f aca="false">SUM(J67:J74)</f>
        <v>3</v>
      </c>
      <c r="K75" s="7" t="n">
        <f aca="false">SUM(K67:K74)</f>
        <v>6</v>
      </c>
      <c r="L75" s="7" t="n">
        <f aca="false">SUM(L67:L74)</f>
        <v>5</v>
      </c>
      <c r="M75" s="7" t="n">
        <f aca="false">SUM(M67:M74)</f>
        <v>3</v>
      </c>
      <c r="N75" s="7" t="n">
        <f aca="false">SUM(N67:N74)</f>
        <v>6</v>
      </c>
      <c r="O75" s="7" t="n">
        <f aca="false">SUM(C75:N75)</f>
        <v>52</v>
      </c>
    </row>
    <row r="78" customFormat="false" ht="15" hidden="false" customHeight="false" outlineLevel="0" collapsed="false">
      <c r="A78" s="6" t="s">
        <v>74</v>
      </c>
      <c r="B78" s="12" t="s">
        <v>61</v>
      </c>
      <c r="O78" s="12" t="s">
        <v>62</v>
      </c>
    </row>
    <row r="79" customFormat="false" ht="15" hidden="false" customHeight="false" outlineLevel="0" collapsed="false">
      <c r="A79" s="11" t="s">
        <v>5</v>
      </c>
      <c r="B79" s="5" t="n">
        <f aca="false">Ashtakavarga!$C$5</f>
        <v>1</v>
      </c>
      <c r="C79" s="5" t="n">
        <f aca="false">INDEX(Rules!$C$53:$N$53,MOD(C$4-$B79,12)+1)</f>
        <v>0</v>
      </c>
      <c r="D79" s="5" t="n">
        <f aca="false">INDEX(Rules!$C$53:$N$53,MOD(D$4-$B79,12)+1)</f>
        <v>1</v>
      </c>
      <c r="E79" s="5" t="n">
        <f aca="false">INDEX(Rules!$C$53:$N$53,MOD(E$4-$B79,12)+1)</f>
        <v>1</v>
      </c>
      <c r="F79" s="5" t="n">
        <f aca="false">INDEX(Rules!$C$53:$N$53,MOD(F$4-$B79,12)+1)</f>
        <v>0</v>
      </c>
      <c r="G79" s="5" t="n">
        <f aca="false">INDEX(Rules!$C$53:$N$53,MOD(G$4-$B79,12)+1)</f>
        <v>1</v>
      </c>
      <c r="H79" s="5" t="n">
        <f aca="false">INDEX(Rules!$C$53:$N$53,MOD(H$4-$B79,12)+1)</f>
        <v>0</v>
      </c>
      <c r="I79" s="5" t="n">
        <f aca="false">INDEX(Rules!$C$53:$N$53,MOD(I$4-$B79,12)+1)</f>
        <v>0</v>
      </c>
      <c r="J79" s="5" t="n">
        <f aca="false">INDEX(Rules!$C$53:$N$53,MOD(J$4-$B79,12)+1)</f>
        <v>1</v>
      </c>
      <c r="K79" s="5" t="n">
        <f aca="false">INDEX(Rules!$C$53:$N$53,MOD(K$4-$B79,12)+1)</f>
        <v>1</v>
      </c>
      <c r="L79" s="5" t="n">
        <f aca="false">INDEX(Rules!$C$53:$N$53,MOD(L$4-$B79,12)+1)</f>
        <v>0</v>
      </c>
      <c r="M79" s="5" t="n">
        <f aca="false">INDEX(Rules!$C$53:$N$53,MOD(M$4-$B79,12)+1)</f>
        <v>1</v>
      </c>
      <c r="N79" s="5" t="n">
        <f aca="false">INDEX(Rules!$C$53:$N$53,MOD(N$4-$B79,12)+1)</f>
        <v>1</v>
      </c>
      <c r="O79" s="5" t="n">
        <f aca="false">SUM(C79:N79)</f>
        <v>7</v>
      </c>
    </row>
    <row r="80" customFormat="false" ht="15" hidden="false" customHeight="false" outlineLevel="0" collapsed="false">
      <c r="A80" s="11" t="s">
        <v>7</v>
      </c>
      <c r="B80" s="5" t="n">
        <f aca="false">Ashtakavarga!$C$6</f>
        <v>8</v>
      </c>
      <c r="C80" s="5" t="n">
        <f aca="false">INDEX(Rules!$C$54:$N$54,MOD(C$4-$B80,12)+1)</f>
        <v>0</v>
      </c>
      <c r="D80" s="5" t="n">
        <f aca="false">INDEX(Rules!$C$54:$N$54,MOD(D$4-$B80,12)+1)</f>
        <v>1</v>
      </c>
      <c r="E80" s="5" t="n">
        <f aca="false">INDEX(Rules!$C$54:$N$54,MOD(E$4-$B80,12)+1)</f>
        <v>0</v>
      </c>
      <c r="F80" s="5" t="n">
        <f aca="false">INDEX(Rules!$C$54:$N$54,MOD(F$4-$B80,12)+1)</f>
        <v>0</v>
      </c>
      <c r="G80" s="5" t="n">
        <f aca="false">INDEX(Rules!$C$54:$N$54,MOD(G$4-$B80,12)+1)</f>
        <v>0</v>
      </c>
      <c r="H80" s="5" t="n">
        <f aca="false">INDEX(Rules!$C$54:$N$54,MOD(H$4-$B80,12)+1)</f>
        <v>0</v>
      </c>
      <c r="I80" s="5" t="n">
        <f aca="false">INDEX(Rules!$C$54:$N$54,MOD(I$4-$B80,12)+1)</f>
        <v>1</v>
      </c>
      <c r="J80" s="5" t="n">
        <f aca="false">INDEX(Rules!$C$54:$N$54,MOD(J$4-$B80,12)+1)</f>
        <v>0</v>
      </c>
      <c r="K80" s="5" t="n">
        <f aca="false">INDEX(Rules!$C$54:$N$54,MOD(K$4-$B80,12)+1)</f>
        <v>0</v>
      </c>
      <c r="L80" s="5" t="n">
        <f aca="false">INDEX(Rules!$C$54:$N$54,MOD(L$4-$B80,12)+1)</f>
        <v>0</v>
      </c>
      <c r="M80" s="5" t="n">
        <f aca="false">INDEX(Rules!$C$54:$N$54,MOD(M$4-$B80,12)+1)</f>
        <v>1</v>
      </c>
      <c r="N80" s="5" t="n">
        <f aca="false">INDEX(Rules!$C$54:$N$54,MOD(N$4-$B80,12)+1)</f>
        <v>0</v>
      </c>
      <c r="O80" s="5" t="n">
        <f aca="false">SUM(C80:N80)</f>
        <v>3</v>
      </c>
    </row>
    <row r="81" customFormat="false" ht="15" hidden="false" customHeight="false" outlineLevel="0" collapsed="false">
      <c r="A81" s="11" t="s">
        <v>9</v>
      </c>
      <c r="B81" s="5" t="n">
        <f aca="false">Ashtakavarga!$C$7</f>
        <v>10</v>
      </c>
      <c r="C81" s="5" t="n">
        <f aca="false">INDEX(Rules!$C$55:$N$55,MOD(C$4-$B81,12)+1)</f>
        <v>1</v>
      </c>
      <c r="D81" s="5" t="n">
        <f aca="false">INDEX(Rules!$C$55:$N$55,MOD(D$4-$B81,12)+1)</f>
        <v>0</v>
      </c>
      <c r="E81" s="5" t="n">
        <f aca="false">INDEX(Rules!$C$55:$N$55,MOD(E$4-$B81,12)+1)</f>
        <v>1</v>
      </c>
      <c r="F81" s="5" t="n">
        <f aca="false">INDEX(Rules!$C$55:$N$55,MOD(F$4-$B81,12)+1)</f>
        <v>1</v>
      </c>
      <c r="G81" s="5" t="n">
        <f aca="false">INDEX(Rules!$C$55:$N$55,MOD(G$4-$B81,12)+1)</f>
        <v>0</v>
      </c>
      <c r="H81" s="5" t="n">
        <f aca="false">INDEX(Rules!$C$55:$N$55,MOD(H$4-$B81,12)+1)</f>
        <v>0</v>
      </c>
      <c r="I81" s="5" t="n">
        <f aca="false">INDEX(Rules!$C$55:$N$55,MOD(I$4-$B81,12)+1)</f>
        <v>0</v>
      </c>
      <c r="J81" s="5" t="n">
        <f aca="false">INDEX(Rules!$C$55:$N$55,MOD(J$4-$B81,12)+1)</f>
        <v>1</v>
      </c>
      <c r="K81" s="5" t="n">
        <f aca="false">INDEX(Rules!$C$55:$N$55,MOD(K$4-$B81,12)+1)</f>
        <v>1</v>
      </c>
      <c r="L81" s="5" t="n">
        <f aca="false">INDEX(Rules!$C$55:$N$55,MOD(L$4-$B81,12)+1)</f>
        <v>1</v>
      </c>
      <c r="M81" s="5" t="n">
        <f aca="false">INDEX(Rules!$C$55:$N$55,MOD(M$4-$B81,12)+1)</f>
        <v>0</v>
      </c>
      <c r="N81" s="5" t="n">
        <f aca="false">INDEX(Rules!$C$55:$N$55,MOD(N$4-$B81,12)+1)</f>
        <v>0</v>
      </c>
      <c r="O81" s="5" t="n">
        <f aca="false">SUM(C81:N81)</f>
        <v>6</v>
      </c>
    </row>
    <row r="82" customFormat="false" ht="15" hidden="false" customHeight="false" outlineLevel="0" collapsed="false">
      <c r="A82" s="11" t="s">
        <v>11</v>
      </c>
      <c r="B82" s="5" t="n">
        <f aca="false">Ashtakavarga!$C$8</f>
        <v>0</v>
      </c>
      <c r="C82" s="5" t="n">
        <f aca="false">INDEX(Rules!$C$56:$N$56,MOD(C$4-$B82,12)+1)</f>
        <v>0</v>
      </c>
      <c r="D82" s="5" t="n">
        <f aca="false">INDEX(Rules!$C$56:$N$56,MOD(D$4-$B82,12)+1)</f>
        <v>0</v>
      </c>
      <c r="E82" s="5" t="n">
        <f aca="false">INDEX(Rules!$C$56:$N$56,MOD(E$4-$B82,12)+1)</f>
        <v>0</v>
      </c>
      <c r="F82" s="5" t="n">
        <f aca="false">INDEX(Rules!$C$56:$N$56,MOD(F$4-$B82,12)+1)</f>
        <v>0</v>
      </c>
      <c r="G82" s="5" t="n">
        <f aca="false">INDEX(Rules!$C$56:$N$56,MOD(G$4-$B82,12)+1)</f>
        <v>0</v>
      </c>
      <c r="H82" s="5" t="n">
        <f aca="false">INDEX(Rules!$C$56:$N$56,MOD(H$4-$B82,12)+1)</f>
        <v>1</v>
      </c>
      <c r="I82" s="5" t="n">
        <f aca="false">INDEX(Rules!$C$56:$N$56,MOD(I$4-$B82,12)+1)</f>
        <v>0</v>
      </c>
      <c r="J82" s="5" t="n">
        <f aca="false">INDEX(Rules!$C$56:$N$56,MOD(J$4-$B82,12)+1)</f>
        <v>1</v>
      </c>
      <c r="K82" s="5" t="n">
        <f aca="false">INDEX(Rules!$C$56:$N$56,MOD(K$4-$B82,12)+1)</f>
        <v>1</v>
      </c>
      <c r="L82" s="5" t="n">
        <f aca="false">INDEX(Rules!$C$56:$N$56,MOD(L$4-$B82,12)+1)</f>
        <v>1</v>
      </c>
      <c r="M82" s="5" t="n">
        <f aca="false">INDEX(Rules!$C$56:$N$56,MOD(M$4-$B82,12)+1)</f>
        <v>1</v>
      </c>
      <c r="N82" s="5" t="n">
        <f aca="false">INDEX(Rules!$C$56:$N$56,MOD(N$4-$B82,12)+1)</f>
        <v>1</v>
      </c>
      <c r="O82" s="5" t="n">
        <f aca="false">SUM(C82:N82)</f>
        <v>6</v>
      </c>
    </row>
    <row r="83" customFormat="false" ht="15" hidden="false" customHeight="false" outlineLevel="0" collapsed="false">
      <c r="A83" s="11" t="s">
        <v>13</v>
      </c>
      <c r="B83" s="5" t="n">
        <f aca="false">Ashtakavarga!$C$9</f>
        <v>2</v>
      </c>
      <c r="C83" s="5" t="n">
        <f aca="false">INDEX(Rules!$C$57:$N$57,MOD(C$4-$B83,12)+1)</f>
        <v>1</v>
      </c>
      <c r="D83" s="5" t="n">
        <f aca="false">INDEX(Rules!$C$57:$N$57,MOD(D$4-$B83,12)+1)</f>
        <v>1</v>
      </c>
      <c r="E83" s="5" t="n">
        <f aca="false">INDEX(Rules!$C$57:$N$57,MOD(E$4-$B83,12)+1)</f>
        <v>0</v>
      </c>
      <c r="F83" s="5" t="n">
        <f aca="false">INDEX(Rules!$C$57:$N$57,MOD(F$4-$B83,12)+1)</f>
        <v>0</v>
      </c>
      <c r="G83" s="5" t="n">
        <f aca="false">INDEX(Rules!$C$57:$N$57,MOD(G$4-$B83,12)+1)</f>
        <v>0</v>
      </c>
      <c r="H83" s="5" t="n">
        <f aca="false">INDEX(Rules!$C$57:$N$57,MOD(H$4-$B83,12)+1)</f>
        <v>0</v>
      </c>
      <c r="I83" s="5" t="n">
        <f aca="false">INDEX(Rules!$C$57:$N$57,MOD(I$4-$B83,12)+1)</f>
        <v>1</v>
      </c>
      <c r="J83" s="5" t="n">
        <f aca="false">INDEX(Rules!$C$57:$N$57,MOD(J$4-$B83,12)+1)</f>
        <v>1</v>
      </c>
      <c r="K83" s="5" t="n">
        <f aca="false">INDEX(Rules!$C$57:$N$57,MOD(K$4-$B83,12)+1)</f>
        <v>0</v>
      </c>
      <c r="L83" s="5" t="n">
        <f aca="false">INDEX(Rules!$C$57:$N$57,MOD(L$4-$B83,12)+1)</f>
        <v>0</v>
      </c>
      <c r="M83" s="5" t="n">
        <f aca="false">INDEX(Rules!$C$57:$N$57,MOD(M$4-$B83,12)+1)</f>
        <v>0</v>
      </c>
      <c r="N83" s="5" t="n">
        <f aca="false">INDEX(Rules!$C$57:$N$57,MOD(N$4-$B83,12)+1)</f>
        <v>0</v>
      </c>
      <c r="O83" s="5" t="n">
        <f aca="false">SUM(C83:N83)</f>
        <v>4</v>
      </c>
    </row>
    <row r="84" customFormat="false" ht="15" hidden="false" customHeight="false" outlineLevel="0" collapsed="false">
      <c r="A84" s="11" t="s">
        <v>15</v>
      </c>
      <c r="B84" s="5" t="n">
        <f aca="false">Ashtakavarga!$C$10</f>
        <v>11</v>
      </c>
      <c r="C84" s="5" t="n">
        <f aca="false">INDEX(Rules!$C$58:$N$58,MOD(C$4-$B84,12)+1)</f>
        <v>0</v>
      </c>
      <c r="D84" s="5" t="n">
        <f aca="false">INDEX(Rules!$C$58:$N$58,MOD(D$4-$B84,12)+1)</f>
        <v>0</v>
      </c>
      <c r="E84" s="5" t="n">
        <f aca="false">INDEX(Rules!$C$58:$N$58,MOD(E$4-$B84,12)+1)</f>
        <v>0</v>
      </c>
      <c r="F84" s="5" t="n">
        <f aca="false">INDEX(Rules!$C$58:$N$58,MOD(F$4-$B84,12)+1)</f>
        <v>0</v>
      </c>
      <c r="G84" s="5" t="n">
        <f aca="false">INDEX(Rules!$C$58:$N$58,MOD(G$4-$B84,12)+1)</f>
        <v>1</v>
      </c>
      <c r="H84" s="5" t="n">
        <f aca="false">INDEX(Rules!$C$58:$N$58,MOD(H$4-$B84,12)+1)</f>
        <v>0</v>
      </c>
      <c r="I84" s="5" t="n">
        <f aca="false">INDEX(Rules!$C$58:$N$58,MOD(I$4-$B84,12)+1)</f>
        <v>0</v>
      </c>
      <c r="J84" s="5" t="n">
        <f aca="false">INDEX(Rules!$C$58:$N$58,MOD(J$4-$B84,12)+1)</f>
        <v>0</v>
      </c>
      <c r="K84" s="5" t="n">
        <f aca="false">INDEX(Rules!$C$58:$N$58,MOD(K$4-$B84,12)+1)</f>
        <v>0</v>
      </c>
      <c r="L84" s="5" t="n">
        <f aca="false">INDEX(Rules!$C$58:$N$58,MOD(L$4-$B84,12)+1)</f>
        <v>1</v>
      </c>
      <c r="M84" s="5" t="n">
        <f aca="false">INDEX(Rules!$C$58:$N$58,MOD(M$4-$B84,12)+1)</f>
        <v>1</v>
      </c>
      <c r="N84" s="5" t="n">
        <f aca="false">INDEX(Rules!$C$58:$N$58,MOD(N$4-$B84,12)+1)</f>
        <v>0</v>
      </c>
      <c r="O84" s="5" t="n">
        <f aca="false">SUM(C84:N84)</f>
        <v>3</v>
      </c>
    </row>
    <row r="85" customFormat="false" ht="15" hidden="false" customHeight="false" outlineLevel="0" collapsed="false">
      <c r="A85" s="11" t="s">
        <v>17</v>
      </c>
      <c r="B85" s="5" t="n">
        <f aca="false">Ashtakavarga!$C$11</f>
        <v>9</v>
      </c>
      <c r="C85" s="5" t="n">
        <f aca="false">INDEX(Rules!$C$59:$N$59,MOD(C$4-$B85,12)+1)</f>
        <v>0</v>
      </c>
      <c r="D85" s="5" t="n">
        <f aca="false">INDEX(Rules!$C$59:$N$59,MOD(D$4-$B85,12)+1)</f>
        <v>1</v>
      </c>
      <c r="E85" s="5" t="n">
        <f aca="false">INDEX(Rules!$C$59:$N$59,MOD(E$4-$B85,12)+1)</f>
        <v>1</v>
      </c>
      <c r="F85" s="5" t="n">
        <f aca="false">INDEX(Rules!$C$59:$N$59,MOD(F$4-$B85,12)+1)</f>
        <v>0</v>
      </c>
      <c r="G85" s="5" t="n">
        <f aca="false">INDEX(Rules!$C$59:$N$59,MOD(G$4-$B85,12)+1)</f>
        <v>0</v>
      </c>
      <c r="H85" s="5" t="n">
        <f aca="false">INDEX(Rules!$C$59:$N$59,MOD(H$4-$B85,12)+1)</f>
        <v>0</v>
      </c>
      <c r="I85" s="5" t="n">
        <f aca="false">INDEX(Rules!$C$59:$N$59,MOD(I$4-$B85,12)+1)</f>
        <v>0</v>
      </c>
      <c r="J85" s="5" t="n">
        <f aca="false">INDEX(Rules!$C$59:$N$59,MOD(J$4-$B85,12)+1)</f>
        <v>1</v>
      </c>
      <c r="K85" s="5" t="n">
        <f aca="false">INDEX(Rules!$C$59:$N$59,MOD(K$4-$B85,12)+1)</f>
        <v>0</v>
      </c>
      <c r="L85" s="5" t="n">
        <f aca="false">INDEX(Rules!$C$59:$N$59,MOD(L$4-$B85,12)+1)</f>
        <v>0</v>
      </c>
      <c r="M85" s="5" t="n">
        <f aca="false">INDEX(Rules!$C$59:$N$59,MOD(M$4-$B85,12)+1)</f>
        <v>0</v>
      </c>
      <c r="N85" s="5" t="n">
        <f aca="false">INDEX(Rules!$C$59:$N$59,MOD(N$4-$B85,12)+1)</f>
        <v>1</v>
      </c>
      <c r="O85" s="5" t="n">
        <f aca="false">SUM(C85:N85)</f>
        <v>4</v>
      </c>
    </row>
    <row r="86" customFormat="false" ht="15" hidden="false" customHeight="false" outlineLevel="0" collapsed="false">
      <c r="A86" s="11" t="s">
        <v>19</v>
      </c>
      <c r="B86" s="5" t="n">
        <f aca="false">Ashtakavarga!$C$12</f>
        <v>1</v>
      </c>
      <c r="C86" s="5" t="n">
        <f aca="false">INDEX(Rules!$C$60:$N$60,MOD(C$4-$B86,12)+1)</f>
        <v>0</v>
      </c>
      <c r="D86" s="5" t="n">
        <f aca="false">INDEX(Rules!$C$60:$N$60,MOD(D$4-$B86,12)+1)</f>
        <v>1</v>
      </c>
      <c r="E86" s="5" t="n">
        <f aca="false">INDEX(Rules!$C$60:$N$60,MOD(E$4-$B86,12)+1)</f>
        <v>0</v>
      </c>
      <c r="F86" s="5" t="n">
        <f aca="false">INDEX(Rules!$C$60:$N$60,MOD(F$4-$B86,12)+1)</f>
        <v>1</v>
      </c>
      <c r="G86" s="5" t="n">
        <f aca="false">INDEX(Rules!$C$60:$N$60,MOD(G$4-$B86,12)+1)</f>
        <v>1</v>
      </c>
      <c r="H86" s="5" t="n">
        <f aca="false">INDEX(Rules!$C$60:$N$60,MOD(H$4-$B86,12)+1)</f>
        <v>0</v>
      </c>
      <c r="I86" s="5" t="n">
        <f aca="false">INDEX(Rules!$C$60:$N$60,MOD(I$4-$B86,12)+1)</f>
        <v>1</v>
      </c>
      <c r="J86" s="5" t="n">
        <f aca="false">INDEX(Rules!$C$60:$N$60,MOD(J$4-$B86,12)+1)</f>
        <v>0</v>
      </c>
      <c r="K86" s="5" t="n">
        <f aca="false">INDEX(Rules!$C$60:$N$60,MOD(K$4-$B86,12)+1)</f>
        <v>0</v>
      </c>
      <c r="L86" s="5" t="n">
        <f aca="false">INDEX(Rules!$C$60:$N$60,MOD(L$4-$B86,12)+1)</f>
        <v>0</v>
      </c>
      <c r="M86" s="5" t="n">
        <f aca="false">INDEX(Rules!$C$60:$N$60,MOD(M$4-$B86,12)+1)</f>
        <v>1</v>
      </c>
      <c r="N86" s="5" t="n">
        <f aca="false">INDEX(Rules!$C$60:$N$60,MOD(N$4-$B86,12)+1)</f>
        <v>1</v>
      </c>
      <c r="O86" s="5" t="n">
        <f aca="false">SUM(C86:N86)</f>
        <v>6</v>
      </c>
    </row>
    <row r="87" customFormat="false" ht="15" hidden="false" customHeight="false" outlineLevel="0" collapsed="false">
      <c r="A87" s="3" t="s">
        <v>75</v>
      </c>
      <c r="B87" s="5"/>
      <c r="C87" s="7" t="n">
        <f aca="false">SUM(C79:C86)</f>
        <v>2</v>
      </c>
      <c r="D87" s="7" t="n">
        <f aca="false">SUM(D79:D86)</f>
        <v>5</v>
      </c>
      <c r="E87" s="7" t="n">
        <f aca="false">SUM(E79:E86)</f>
        <v>3</v>
      </c>
      <c r="F87" s="7" t="n">
        <f aca="false">SUM(F79:F86)</f>
        <v>2</v>
      </c>
      <c r="G87" s="7" t="n">
        <f aca="false">SUM(G79:G86)</f>
        <v>3</v>
      </c>
      <c r="H87" s="7" t="n">
        <f aca="false">SUM(H79:H86)</f>
        <v>1</v>
      </c>
      <c r="I87" s="7" t="n">
        <f aca="false">SUM(I79:I86)</f>
        <v>3</v>
      </c>
      <c r="J87" s="7" t="n">
        <f aca="false">SUM(J79:J86)</f>
        <v>5</v>
      </c>
      <c r="K87" s="7" t="n">
        <f aca="false">SUM(K79:K86)</f>
        <v>3</v>
      </c>
      <c r="L87" s="7" t="n">
        <f aca="false">SUM(L79:L86)</f>
        <v>3</v>
      </c>
      <c r="M87" s="7" t="n">
        <f aca="false">SUM(M79:M86)</f>
        <v>5</v>
      </c>
      <c r="N87" s="7" t="n">
        <f aca="false">SUM(N79:N86)</f>
        <v>4</v>
      </c>
      <c r="O87" s="7" t="n">
        <f aca="false">SUM(C87:N87)</f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2026-10-07T10:30:16Z</dcterms:created>
  <dc:creator>openpyxl</dc:creator>
  <dc:description/>
  <dc:language>en-US</dc:language>
  <cp:lastModifiedBy/>
  <dcterms:modified xsi:type="dcterms:W3CDTF">2026-10-07T10:30:16Z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