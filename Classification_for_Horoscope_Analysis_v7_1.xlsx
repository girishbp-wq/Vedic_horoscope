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Astrology\self study\AVCI Vedic Astrology\Tool details\"/>
    </mc:Choice>
  </mc:AlternateContent>
  <xr:revisionPtr revIDLastSave="0" documentId="8_{038766AA-5292-48C7-B997-610B441C27F5}" xr6:coauthVersionLast="47" xr6:coauthVersionMax="47" xr10:uidLastSave="{00000000-0000-0000-0000-000000000000}"/>
  <bookViews>
    <workbookView xWindow="-120" yWindow="-120" windowWidth="29040" windowHeight="15720" tabRatio="500" xr2:uid="{00000000-000D-0000-FFFF-FFFF00000000}"/>
  </bookViews>
  <sheets>
    <sheet name="Input" sheetId="1" r:id="rId1"/>
    <sheet name="Analysis" sheetId="2" r:id="rId2"/>
    <sheet name="Reference Data" sheetId="3" r:id="rId3"/>
    <sheet name="Planet Dignity" sheetId="4" r:id="rId4"/>
    <sheet name="Planet Characteristics" sheetId="5" r:id="rId5"/>
    <sheet name="Guide &amp; Explanations" sheetId="6" r:id="rId6"/>
    <sheet name="Sheet1" sheetId="7" r:id="rId7"/>
    <sheet name="Explanations" sheetId="8" r:id="rId8"/>
    <sheet name="Exhalted or Debilitated" sheetId="9" r:id="rId9"/>
    <sheet name="Tithi"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3" i="2" l="1"/>
  <c r="B93" i="2"/>
  <c r="F60" i="2" a="1"/>
  <c r="F60" i="2" s="1"/>
  <c r="B60" i="2"/>
  <c r="F59" i="2" a="1"/>
  <c r="F59" i="2" s="1"/>
  <c r="C59" i="2" a="1"/>
  <c r="C59" i="2" s="1"/>
  <c r="B59" i="2"/>
  <c r="F58" i="2" a="1"/>
  <c r="F58" i="2" s="1"/>
  <c r="B58" i="2"/>
  <c r="F57" i="2" a="1"/>
  <c r="F57" i="2" s="1"/>
  <c r="C57" i="2" a="1"/>
  <c r="C57" i="2" s="1"/>
  <c r="B57" i="2"/>
  <c r="F56" i="2" a="1"/>
  <c r="F56" i="2" s="1"/>
  <c r="B56" i="2"/>
  <c r="F55" i="2" a="1"/>
  <c r="F55" i="2" s="1"/>
  <c r="C55" i="2" a="1"/>
  <c r="C55" i="2" s="1"/>
  <c r="B55" i="2"/>
  <c r="B54" i="2"/>
  <c r="B53" i="2"/>
  <c r="F52" i="2" a="1"/>
  <c r="F52" i="2" s="1"/>
  <c r="B52" i="2"/>
  <c r="B27" i="2"/>
  <c r="B6" i="2"/>
  <c r="A2" i="2"/>
  <c r="G21" i="1" a="1"/>
  <c r="G21" i="1"/>
  <c r="D60" i="2" s="1"/>
  <c r="C21" i="1"/>
  <c r="E60" i="2" s="1" a="1"/>
  <c r="E60" i="2" s="1"/>
  <c r="G20" i="1" a="1"/>
  <c r="G20" i="1" s="1"/>
  <c r="D59" i="2" s="1"/>
  <c r="C20" i="1"/>
  <c r="E59" i="2" s="1" a="1"/>
  <c r="E59" i="2" s="1"/>
  <c r="C19" i="1"/>
  <c r="D19" i="1" s="1"/>
  <c r="C18" i="1"/>
  <c r="G18" i="1" s="1" a="1"/>
  <c r="G18" i="1" s="1"/>
  <c r="D57" i="2" s="1"/>
  <c r="G17" i="1" a="1"/>
  <c r="G17" i="1" s="1"/>
  <c r="D56" i="2" s="1"/>
  <c r="C17" i="1"/>
  <c r="E56" i="2" s="1" a="1"/>
  <c r="E56" i="2" s="1"/>
  <c r="G16" i="1" a="1"/>
  <c r="G16" i="1" s="1"/>
  <c r="D55" i="2" s="1"/>
  <c r="C16" i="1"/>
  <c r="E55" i="2" s="1" a="1"/>
  <c r="E55" i="2" s="1"/>
  <c r="C15" i="1"/>
  <c r="G15" i="1" s="1" a="1"/>
  <c r="G15" i="1" s="1"/>
  <c r="C14" i="1"/>
  <c r="B45" i="2" s="1" a="1"/>
  <c r="B45" i="2" s="1"/>
  <c r="G13" i="1" a="1"/>
  <c r="G13" i="1"/>
  <c r="D52" i="2" s="1"/>
  <c r="C13" i="1"/>
  <c r="G12" i="1"/>
  <c r="C12" i="1"/>
  <c r="B22" i="2" s="1" a="1"/>
  <c r="B22" i="2" s="1"/>
  <c r="D54" i="2" l="1"/>
  <c r="C90" i="2"/>
  <c r="B90" i="2"/>
  <c r="G19" i="1" a="1"/>
  <c r="G19" i="1" s="1"/>
  <c r="D58" i="2" s="1"/>
  <c r="B9" i="2" a="1"/>
  <c r="B9" i="2" s="1"/>
  <c r="C9" i="2" s="1"/>
  <c r="B15" i="2" a="1"/>
  <c r="B15" i="2" s="1"/>
  <c r="B33" i="2" a="1"/>
  <c r="B33" i="2" s="1"/>
  <c r="B39" i="2" a="1"/>
  <c r="B39" i="2" s="1"/>
  <c r="C39" i="2" s="1"/>
  <c r="B64" i="2" a="1"/>
  <c r="B64" i="2" s="1"/>
  <c r="A79" i="2" a="1"/>
  <c r="A79" i="2" s="1"/>
  <c r="D12" i="1"/>
  <c r="B16" i="2" a="1"/>
  <c r="B16" i="2" s="1"/>
  <c r="B34" i="2" a="1"/>
  <c r="B34" i="2" s="1"/>
  <c r="C34" i="2" s="1"/>
  <c r="B65" i="2" a="1"/>
  <c r="B65" i="2" s="1"/>
  <c r="D16" i="1"/>
  <c r="B40" i="2" a="1"/>
  <c r="B40" i="2" s="1"/>
  <c r="C40" i="2" s="1"/>
  <c r="B17" i="2" a="1"/>
  <c r="B17" i="2" s="1"/>
  <c r="E53" i="2" a="1"/>
  <c r="E53" i="2" s="1"/>
  <c r="E57" i="2" a="1"/>
  <c r="E57" i="2" s="1"/>
  <c r="B66" i="2" a="1"/>
  <c r="B66" i="2" s="1"/>
  <c r="C91" i="2"/>
  <c r="B23" i="2" a="1"/>
  <c r="B23" i="2" s="1"/>
  <c r="C53" i="2" a="1"/>
  <c r="C53" i="2" s="1"/>
  <c r="B10" i="2" a="1"/>
  <c r="B10" i="2" s="1"/>
  <c r="B91" i="2"/>
  <c r="D13" i="1"/>
  <c r="D17" i="1"/>
  <c r="D21" i="1"/>
  <c r="B11" i="2" a="1"/>
  <c r="B11" i="2" s="1"/>
  <c r="B29" i="2" a="1"/>
  <c r="B29" i="2" s="1"/>
  <c r="B35" i="2" a="1"/>
  <c r="B35" i="2" s="1"/>
  <c r="C35" i="2" s="1"/>
  <c r="B84" i="2"/>
  <c r="F53" i="2" a="1"/>
  <c r="F53" i="2" s="1"/>
  <c r="B68" i="2" a="1"/>
  <c r="B68" i="2" s="1"/>
  <c r="B12" i="2" a="1"/>
  <c r="B12" i="2" s="1"/>
  <c r="C12" i="2" s="1"/>
  <c r="B30" i="2" a="1"/>
  <c r="B30" i="2" s="1"/>
  <c r="C30" i="2" s="1"/>
  <c r="D20" i="1"/>
  <c r="B69" i="2" a="1"/>
  <c r="B69" i="2" s="1"/>
  <c r="G5" i="10"/>
  <c r="G7" i="10" s="1"/>
  <c r="G8" i="10" s="1"/>
  <c r="D14" i="1"/>
  <c r="D18" i="1"/>
  <c r="B19" i="2" a="1"/>
  <c r="B19" i="2" s="1"/>
  <c r="B42" i="2" a="1"/>
  <c r="B42" i="2" s="1"/>
  <c r="C52" i="2" a="1"/>
  <c r="C52" i="2" s="1"/>
  <c r="C54" i="2" a="1"/>
  <c r="C54" i="2" s="1"/>
  <c r="C56" i="2" a="1"/>
  <c r="C56" i="2" s="1"/>
  <c r="C58" i="2" a="1"/>
  <c r="C58" i="2" s="1"/>
  <c r="C60" i="2" a="1"/>
  <c r="C60" i="2" s="1"/>
  <c r="B85" i="2"/>
  <c r="G6" i="10"/>
  <c r="B41" i="2" a="1"/>
  <c r="B41" i="2" s="1"/>
  <c r="C41" i="2" s="1"/>
  <c r="B36" i="2" a="1"/>
  <c r="B36" i="2" s="1"/>
  <c r="B13" i="2" a="1"/>
  <c r="B13" i="2" s="1"/>
  <c r="C13" i="2" s="1"/>
  <c r="B31" i="2" a="1"/>
  <c r="B31" i="2" s="1"/>
  <c r="C31" i="2" s="1"/>
  <c r="B37" i="2" a="1"/>
  <c r="B37" i="2" s="1"/>
  <c r="C37" i="2" s="1"/>
  <c r="B70" i="2" a="1"/>
  <c r="B70" i="2" s="1"/>
  <c r="G14" i="1" a="1"/>
  <c r="G14" i="1" s="1"/>
  <c r="B7" i="2" a="1"/>
  <c r="B7" i="2" s="1"/>
  <c r="B20" i="2" a="1"/>
  <c r="B20" i="2" s="1"/>
  <c r="B43" i="2" a="1"/>
  <c r="B43" i="2" s="1"/>
  <c r="E52" i="2" a="1"/>
  <c r="E52" i="2" s="1"/>
  <c r="E54" i="2" a="1"/>
  <c r="E54" i="2" s="1"/>
  <c r="E58" i="2" a="1"/>
  <c r="E58" i="2" s="1"/>
  <c r="B71" i="2" a="1"/>
  <c r="B71" i="2" s="1"/>
  <c r="D15" i="1"/>
  <c r="B8" i="2" a="1"/>
  <c r="B8" i="2" s="1"/>
  <c r="C8" i="2" s="1"/>
  <c r="B14" i="2" a="1"/>
  <c r="B14" i="2" s="1"/>
  <c r="C14" i="2" s="1"/>
  <c r="B21" i="2" a="1"/>
  <c r="B21" i="2" s="1"/>
  <c r="B32" i="2" a="1"/>
  <c r="B32" i="2" s="1"/>
  <c r="C32" i="2" s="1"/>
  <c r="B38" i="2" a="1"/>
  <c r="B38" i="2" s="1"/>
  <c r="C38" i="2" s="1"/>
  <c r="B44" i="2" a="1"/>
  <c r="B44" i="2" s="1"/>
  <c r="B86" i="2"/>
  <c r="B18" i="2" a="1"/>
  <c r="B18" i="2" s="1"/>
  <c r="C18" i="2" s="1"/>
  <c r="F54" i="2" a="1"/>
  <c r="F54" i="2" s="1"/>
  <c r="C46" i="2" l="1"/>
  <c r="B47" i="2"/>
  <c r="C47" i="2" s="1"/>
  <c r="C79" i="2"/>
  <c r="B79" i="2"/>
  <c r="G11" i="10"/>
  <c r="G9" i="10" a="1"/>
  <c r="G9" i="10" s="1"/>
  <c r="B49" i="2" s="1"/>
  <c r="G10" i="10"/>
  <c r="B80" i="2"/>
  <c r="D53" i="2"/>
  <c r="B74" i="2"/>
  <c r="B46" i="2"/>
  <c r="B73" i="2"/>
  <c r="B48" i="2"/>
  <c r="C48" i="2" s="1"/>
  <c r="E84" i="2"/>
  <c r="C84" i="2"/>
  <c r="B94" i="2"/>
  <c r="D84" i="2"/>
  <c r="B28" i="2"/>
  <c r="D86" i="2"/>
  <c r="C86" i="2"/>
  <c r="E86" i="2"/>
  <c r="E85" i="2"/>
  <c r="D85" i="2"/>
  <c r="C85" i="2"/>
  <c r="B75" i="2"/>
</calcChain>
</file>

<file path=xl/sharedStrings.xml><?xml version="1.0" encoding="utf-8"?>
<sst xmlns="http://schemas.openxmlformats.org/spreadsheetml/2006/main" count="2068" uniqueCount="1320">
  <si>
    <t>🪐 VEDIC HOROSCOPE ANALYSIS TOOL</t>
  </si>
  <si>
    <t>BIRTH DETAILS</t>
  </si>
  <si>
    <t>Name</t>
  </si>
  <si>
    <t>Aarav Sharma</t>
  </si>
  <si>
    <t>Date of Birth</t>
  </si>
  <si>
    <t>Time of Birth</t>
  </si>
  <si>
    <t>Place of Birth</t>
  </si>
  <si>
    <t>Mumbai</t>
  </si>
  <si>
    <t>Gender</t>
  </si>
  <si>
    <t>Male</t>
  </si>
  <si>
    <t>PLANET POSITIONS (Select Rashi from Dropdown)</t>
  </si>
  <si>
    <t>Planet</t>
  </si>
  <si>
    <t>Rashi (Select ▼)</t>
  </si>
  <si>
    <t>Zodiac #</t>
  </si>
  <si>
    <t>House #</t>
  </si>
  <si>
    <t>Degree (0-30)</t>
  </si>
  <si>
    <t>Retrograde?</t>
  </si>
  <si>
    <t>Dignity</t>
  </si>
  <si>
    <t>Lagna (Ascendant)</t>
  </si>
  <si>
    <t>Simha - Leo</t>
  </si>
  <si>
    <t>Sun (Surya)</t>
  </si>
  <si>
    <t>Mesha - Aries</t>
  </si>
  <si>
    <t>Moon (Chandra)</t>
  </si>
  <si>
    <t>Meena - Pisces</t>
  </si>
  <si>
    <t>Mars (Mangala)</t>
  </si>
  <si>
    <t>Mercury (Budha)</t>
  </si>
  <si>
    <t>Jupiter (Guru)</t>
  </si>
  <si>
    <t>Venus (Shukra)</t>
  </si>
  <si>
    <t>Saturn (Shani)</t>
  </si>
  <si>
    <t>Rahu</t>
  </si>
  <si>
    <t>Ketu</t>
  </si>
  <si>
    <t>Kanya - Virgo</t>
  </si>
  <si>
    <t>Instructions:</t>
  </si>
  <si>
    <t>1. Enter birth details above (Name, DOB, Time, Place, Gender).</t>
  </si>
  <si>
    <t>2. Select Rashi from dropdown for Lagna and each planet. House # auto-calculates relative to Lagna.</t>
  </si>
  <si>
    <t>3. Optionally enter degree (0-30) and retrograde status.</t>
  </si>
  <si>
    <t>4. Go to the 'Analysis' sheet to see the full automated horoscope report.</t>
  </si>
  <si>
    <t>5. Blue cells = Input cells (user editable). House # is auto-computed: House 1 = Lagna rashi.</t>
  </si>
  <si>
    <t>🔮 HOROSCOPE ANALYSIS REPORT</t>
  </si>
  <si>
    <t>1. LAGNA (ASCENDANT) ANALYSIS — Indicates Personality (How the World Sees You)</t>
  </si>
  <si>
    <t>Characteristic</t>
  </si>
  <si>
    <t>Value</t>
  </si>
  <si>
    <t>Explanation</t>
  </si>
  <si>
    <t>Janma Lagna (Rashi)</t>
  </si>
  <si>
    <t>The sign rising on the eastern horizon at birth. Determines physical body, outer personality and how others perceive you. Lagna ≠ Mind.</t>
  </si>
  <si>
    <t>Gender (Odd/Even)</t>
  </si>
  <si>
    <t>Odd = Masculine energy (assertive, active outer demeanor). Even = Feminine energy (receptive, gentle outer demeanor). Describes how you appear to others.</t>
  </si>
  <si>
    <t>Chara / Sthira / Dwisabhava</t>
  </si>
  <si>
    <t>Tatwa (Element)</t>
  </si>
  <si>
    <t>Direction</t>
  </si>
  <si>
    <t>Cardinal direction associated with the Lagna rashi. Indicates favorable physical direction for the person.</t>
  </si>
  <si>
    <t>Varna</t>
  </si>
  <si>
    <t>Social standing indicated by Lagna. Used in match-making (Varna Koota). Reflects outward social behavior.</t>
  </si>
  <si>
    <t>Purushartha</t>
  </si>
  <si>
    <t>Triguna</t>
  </si>
  <si>
    <t>Constitution</t>
  </si>
  <si>
    <t>Fertility</t>
  </si>
  <si>
    <t>Physical fertility indicated by Lagna. Fruitful = strong physical vitality. Barren = challenges in physical constitution.</t>
  </si>
  <si>
    <t>Day/Night Strength</t>
  </si>
  <si>
    <t>Indicates when the physical body is most energetic. Diurnal = daytime strength. Nocturnal = nighttime strength.</t>
  </si>
  <si>
    <t>Rising Position</t>
  </si>
  <si>
    <t>Rising position of Lagna rashi. Shirsodaya = head rises first = favorable for physical undertakings.</t>
  </si>
  <si>
    <t>Tridosha</t>
  </si>
  <si>
    <t>Lucky Colour</t>
  </si>
  <si>
    <t>Lucky colour for outer appearance and physical well-being. Wearing this colour enhances Lagna strength.</t>
  </si>
  <si>
    <t>Associated Place</t>
  </si>
  <si>
    <t>Place where the physical body feels most comfortable and energized.</t>
  </si>
  <si>
    <t>Jyothirlinga</t>
  </si>
  <si>
    <t>Sacred Jyothirlinga associated with this Lagna. Visiting strengthens physical and outer well-being.</t>
  </si>
  <si>
    <t>Body Part (Kala Purusha)</t>
  </si>
  <si>
    <t>Body part of Kala Purusha mapped to this Lagna. Primary health focus area for the physical body.</t>
  </si>
  <si>
    <t>Personality Traits (Outer Nature)</t>
  </si>
  <si>
    <t>Core PERSONALITY traits based on Lagna. This is how you behave outwardly, how people describe you, your physical demeanor and approach to life.</t>
  </si>
  <si>
    <t>2. JANMA RASHI (MOON SIGN) ANALYSIS — Indicates Mindset (How You Think &amp; Feel Inside)</t>
  </si>
  <si>
    <t>Janma Rashi (Moon Sign)</t>
  </si>
  <si>
    <t>The rashi where Moon is placed. Determines the mind, emotions, inner nature, and how you think and feel. Moon ≠ Personality.</t>
  </si>
  <si>
    <t>Moon Dignity</t>
  </si>
  <si>
    <t>Moon exalted in Vrishaba (Taurus) = strong, stable mind. Debilitated in Vrischika (Scorpio) = turbulent, anxious mind.</t>
  </si>
  <si>
    <t>Mindset &amp; Inner Emotions</t>
  </si>
  <si>
    <t>Core MINDSET traits based on Moon rashi. This is how you think internally, your emotional patterns, inner reactions, and mental tendencies.</t>
  </si>
  <si>
    <t>Element (Tatwa)</t>
  </si>
  <si>
    <t>Triguna of Moon Sign</t>
  </si>
  <si>
    <t>Purushartha of Moon Sign</t>
  </si>
  <si>
    <t>Tridosha of Moon Sign</t>
  </si>
  <si>
    <t>Mental health constitution indicated by Moon's rashi. Shows which dosha affects the mind and emotional well-being.</t>
  </si>
  <si>
    <t>Gender (Odd/Even) of Moon Rashi</t>
  </si>
  <si>
    <t>Chara/Sthira/Dwisabhava of Moon Rashi</t>
  </si>
  <si>
    <t>Direction of Moon Rashi</t>
  </si>
  <si>
    <t>Direction the mind is drawn towards. In Prashna, indicates where a missing object or person may be found.</t>
  </si>
  <si>
    <t>Varna of Moon Rashi</t>
  </si>
  <si>
    <t>Constitution of Moon Rashi</t>
  </si>
  <si>
    <t>Fertility of Moon Rashi</t>
  </si>
  <si>
    <t>Day/Night Strength of Moon Rashi</t>
  </si>
  <si>
    <t>Rising Position of Moon Rashi</t>
  </si>
  <si>
    <t>Lucky Colour of Moon Rashi</t>
  </si>
  <si>
    <t>Wearing or surrounding yourself with this colour calms the mind and enhances Moon's positive effects.</t>
  </si>
  <si>
    <t>Associated Place of Moon Rashi</t>
  </si>
  <si>
    <t>Place where the mind feels most at peace. Visiting such places can strengthen mental well-being.</t>
  </si>
  <si>
    <t>Jyothirlinga of Moon Rashi</t>
  </si>
  <si>
    <t>Sacred Jyothirlinga associated with Moon rashi. Visiting this temple brings mental peace and emotional healing.</t>
  </si>
  <si>
    <t>Body Part of Moon Rashi</t>
  </si>
  <si>
    <t>Body area most sensitive to emotional stress. Psychosomatic ailments may manifest here when mind is disturbed.</t>
  </si>
  <si>
    <t>Moon's House from Lagna</t>
  </si>
  <si>
    <t>Moon's Bhava Significance</t>
  </si>
  <si>
    <t>Moon Remedial Suggestion</t>
  </si>
  <si>
    <t>Tithi &amp; Paksha</t>
  </si>
  <si>
    <t>Computed from exact Sun–Moon angular separation (every 12° = 1 tithi). Drives Moon strength: Shukla = strong/benefic; Krishna Ashtami→Amavasya = weakest.</t>
  </si>
  <si>
    <t>3. PLANET-BY-PLANET PLACEMENT ANALYSIS</t>
  </si>
  <si>
    <t>Placed in Rashi</t>
  </si>
  <si>
    <t>Rashi Lord</t>
  </si>
  <si>
    <t>Rashi Element</t>
  </si>
  <si>
    <t>Rashi Personality Traits</t>
  </si>
  <si>
    <t>4. SUMMARY STATISTICS</t>
  </si>
  <si>
    <t>Analysis Type</t>
  </si>
  <si>
    <t>Result</t>
  </si>
  <si>
    <t>Interpretation</t>
  </si>
  <si>
    <t>Planets in Chara Rashis</t>
  </si>
  <si>
    <t>More planets in Chara = person travels frequently, dynamic lifestyle.</t>
  </si>
  <si>
    <t>Planets in Sthira Rashis</t>
  </si>
  <si>
    <t>More planets in Sthira = person prefers stability, stays in one place.</t>
  </si>
  <si>
    <t>Planets in Dwisabhava Rashis</t>
  </si>
  <si>
    <t>More in Dwisabhava = adaptable but indecisive, calculative.</t>
  </si>
  <si>
    <t>Planets in Agni (Fire)</t>
  </si>
  <si>
    <t>Fire dominant: Energetic, assertive, leadership qualities.</t>
  </si>
  <si>
    <t>Planets in Prithvi (Earth)</t>
  </si>
  <si>
    <t>Earth dominant: Practical, stable, materialistic.</t>
  </si>
  <si>
    <t>Planets in Vayu (Air)</t>
  </si>
  <si>
    <t>Air dominant: Intellectual, creative, restless mind.</t>
  </si>
  <si>
    <t>Planets in Jala (Water)</t>
  </si>
  <si>
    <t>Water dominant: Emotional, intuitive, compassionate.</t>
  </si>
  <si>
    <t>Exalted Planets</t>
  </si>
  <si>
    <t>Exalted planets are very strong and give excellent results in their significations.</t>
  </si>
  <si>
    <t>Debilitated Planets</t>
  </si>
  <si>
    <t>Debilitated planets are weak and may cause challenges in their areas.</t>
  </si>
  <si>
    <t>Own House Planets</t>
  </si>
  <si>
    <t>Planets in own house are comfortable and give good, balanced results.</t>
  </si>
  <si>
    <t>5. REMEDIAL MEASURES (PARIHARA) BASED ON TATWA</t>
  </si>
  <si>
    <t>Lagna Tatwa</t>
  </si>
  <si>
    <t>Recommended Remedy</t>
  </si>
  <si>
    <t>Moon Affliction</t>
  </si>
  <si>
    <t>If Moon is debilitated or in Krishna Paksha (weak), strengthen Moon via: Hare Rama / Hare Krishna mahamantra (stress relief, mental clarity, emotional balance), respect mother and elderly women, never waste food.</t>
  </si>
  <si>
    <t>6. KUJA DOSHA (MANGALIK) ANALYSIS</t>
  </si>
  <si>
    <t>Reference Point</t>
  </si>
  <si>
    <t>Mars House (from Reference)</t>
  </si>
  <si>
    <t>Dosha Present?</t>
  </si>
  <si>
    <t>Severity</t>
  </si>
  <si>
    <t>From Lagna (Strongest)</t>
  </si>
  <si>
    <t>From Venus</t>
  </si>
  <si>
    <t>From Moon</t>
  </si>
  <si>
    <t>KUJA DOSHA — CANCELLATION CHECKS</t>
  </si>
  <si>
    <t>Cancellation Rule</t>
  </si>
  <si>
    <t>Status</t>
  </si>
  <si>
    <t>1. Mars in own house, exaltation, or friend's house</t>
  </si>
  <si>
    <t>2. Karkataka or Simha Lagna (no Kuja Dosha)</t>
  </si>
  <si>
    <t>3. Other cancellation factors (manual check)</t>
  </si>
  <si>
    <t>ℹ Check manually</t>
  </si>
  <si>
    <t>Also cancelled if: (a) Mars conjoined/aspected by Saturn; (b) Born in Ashwini, Mrigashira, Punarvasu, Pushya, Ashlesha, Uttara, Swati, Anuradha, Shravana, Uttara Bhadra, or Revathi nakshatra; (c) Marriage between two Mangalik individuals.</t>
  </si>
  <si>
    <t>4. Native is older than 28 years</t>
  </si>
  <si>
    <t>FINAL VERDICT</t>
  </si>
  <si>
    <t>Note: This is an automated screening based on house positions and dignity. Final marriage compatibility should be assessed by a qualified astrologer considering all factors including nakshatra matching, ashtakoota, and Saturn's role.</t>
  </si>
  <si>
    <t>House</t>
  </si>
  <si>
    <t>Sanskrit Name</t>
  </si>
  <si>
    <t>English Name</t>
  </si>
  <si>
    <t>Odd/Even</t>
  </si>
  <si>
    <t>Chara/Sthira/Dwisabhava</t>
  </si>
  <si>
    <t>Day/Night</t>
  </si>
  <si>
    <t>Legs</t>
  </si>
  <si>
    <t>Colour</t>
  </si>
  <si>
    <t>Place</t>
  </si>
  <si>
    <t>Body Part</t>
  </si>
  <si>
    <t>Mindset / Personality</t>
  </si>
  <si>
    <t>Mesha</t>
  </si>
  <si>
    <t>Aries</t>
  </si>
  <si>
    <t>Odd (Male)</t>
  </si>
  <si>
    <t>Chara</t>
  </si>
  <si>
    <t>Agni</t>
  </si>
  <si>
    <t>East</t>
  </si>
  <si>
    <t>Kshatriya</t>
  </si>
  <si>
    <t>Dharma</t>
  </si>
  <si>
    <t>Rajasika</t>
  </si>
  <si>
    <t>Dhatu</t>
  </si>
  <si>
    <t>Barren</t>
  </si>
  <si>
    <t>Nocturnal</t>
  </si>
  <si>
    <t>Prushtodaya</t>
  </si>
  <si>
    <t>Chatuspada</t>
  </si>
  <si>
    <t>Pitha</t>
  </si>
  <si>
    <t>Red</t>
  </si>
  <si>
    <t>Forest</t>
  </si>
  <si>
    <t>Rameshwaram</t>
  </si>
  <si>
    <t>Head, Brain, Skull</t>
  </si>
  <si>
    <t>Energetic, Active, Aggressive, Initiative, Impulsive, Restless, Bold, Wants to Lead</t>
  </si>
  <si>
    <t>Vrishaba</t>
  </si>
  <si>
    <t>Taurus</t>
  </si>
  <si>
    <t>Even (Female)</t>
  </si>
  <si>
    <t>Sthira</t>
  </si>
  <si>
    <t>Prithvi</t>
  </si>
  <si>
    <t>South</t>
  </si>
  <si>
    <t>Vysya</t>
  </si>
  <si>
    <t>Artha</t>
  </si>
  <si>
    <t>Moola</t>
  </si>
  <si>
    <t>Semi Fruitful</t>
  </si>
  <si>
    <t>Vatha</t>
  </si>
  <si>
    <t>White</t>
  </si>
  <si>
    <t>Agricultural land</t>
  </si>
  <si>
    <t>Somnatheshwara</t>
  </si>
  <si>
    <t>Face, Eyes (right), Mouth, Throat, Vocal cords</t>
  </si>
  <si>
    <t>Stability, Focused, Practical, Patience, Nourishment, Charming, Stubborn</t>
  </si>
  <si>
    <t>Mithuna</t>
  </si>
  <si>
    <t>Gemini</t>
  </si>
  <si>
    <t>Dwisabhava</t>
  </si>
  <si>
    <t>Vayu</t>
  </si>
  <si>
    <t>West</t>
  </si>
  <si>
    <t>Shudra</t>
  </si>
  <si>
    <t>Kama</t>
  </si>
  <si>
    <t>Jeeva</t>
  </si>
  <si>
    <t>Shirsodaya</t>
  </si>
  <si>
    <t>Dwipada</t>
  </si>
  <si>
    <t>Green</t>
  </si>
  <si>
    <t>Bedroom</t>
  </si>
  <si>
    <t>Nageshwara</t>
  </si>
  <si>
    <t>Neck, Shoulders, Arms, Hands, Lungs (upper), Nervous system</t>
  </si>
  <si>
    <t>Good communication, Intelligent, Artistic, Humorous, Multitasking, Creative, Adaptable, Fickle minded</t>
  </si>
  <si>
    <t>Karkataka</t>
  </si>
  <si>
    <t>Cancer</t>
  </si>
  <si>
    <t>Jala</t>
  </si>
  <si>
    <t>North</t>
  </si>
  <si>
    <t>Brahmin</t>
  </si>
  <si>
    <t>Moksha</t>
  </si>
  <si>
    <t>Sathvik</t>
  </si>
  <si>
    <t>Fruitful</t>
  </si>
  <si>
    <t>Jalachara</t>
  </si>
  <si>
    <t>Kapha</t>
  </si>
  <si>
    <t>Pink</t>
  </si>
  <si>
    <t>River</t>
  </si>
  <si>
    <t>Omkareshwara</t>
  </si>
  <si>
    <t>Chest, Lungs, Breasts, Ribcage, Stomach (upper)</t>
  </si>
  <si>
    <t>Emotional, Sensitive, Honest, Mood swings, Motherly nature, Peace loving, Nurturing, Psychic</t>
  </si>
  <si>
    <t>Simha</t>
  </si>
  <si>
    <t>Leo</t>
  </si>
  <si>
    <t>Diurnal</t>
  </si>
  <si>
    <t>Vanachara</t>
  </si>
  <si>
    <t>Off white</t>
  </si>
  <si>
    <t>Mountain</t>
  </si>
  <si>
    <t>Vaidyanath</t>
  </si>
  <si>
    <t>Heart, Spine, Upper back, Bones, Eyes (Sun's karaka)</t>
  </si>
  <si>
    <t>Energetic, Aggressive, Egoistic, Good in administration, Generous, Dominating, Leaders, Self respect</t>
  </si>
  <si>
    <t>Kanya</t>
  </si>
  <si>
    <t>Virgo</t>
  </si>
  <si>
    <t>Tamasika</t>
  </si>
  <si>
    <t>Variegated</t>
  </si>
  <si>
    <t>Gardens</t>
  </si>
  <si>
    <t>Mallikarjuna</t>
  </si>
  <si>
    <t>Stomach (lower), Intestines, Digestive system, Abdomen, Navel</t>
  </si>
  <si>
    <t>Practical, Critical, Perfectionist, Cleanliness, Observant, Intelligent, Reserved, Organised, Analytical</t>
  </si>
  <si>
    <t>Tula</t>
  </si>
  <si>
    <t>Libra</t>
  </si>
  <si>
    <t>Black</t>
  </si>
  <si>
    <t>Business Place</t>
  </si>
  <si>
    <t>Mahakaleshwar</t>
  </si>
  <si>
    <t>Lower abdomen, Kidneys, Lumbar region, Lower back, Skin</t>
  </si>
  <si>
    <t>Attractive, Extroverts, Well Mannered, Peace makers, Diplomatic, Good negotiators, Business minded</t>
  </si>
  <si>
    <t>Vrischika</t>
  </si>
  <si>
    <t>Scorpio</t>
  </si>
  <si>
    <t>Keeta</t>
  </si>
  <si>
    <t>Saffron</t>
  </si>
  <si>
    <t>Hole / Cavity</t>
  </si>
  <si>
    <t>Grishneshwar</t>
  </si>
  <si>
    <t>Reproductive organs, Genitals, Bladder, Excretory system, Pelvis</t>
  </si>
  <si>
    <t>Secretive, Pessimistic, Possessive, Good researchers, Revenge, Mood swings, Good imagination, Anxiety</t>
  </si>
  <si>
    <t>Dhanur</t>
  </si>
  <si>
    <t>Sagittarius</t>
  </si>
  <si>
    <t>Dwipada 1st / Chatuspada 2nd</t>
  </si>
  <si>
    <t>Golden</t>
  </si>
  <si>
    <t>Palace</t>
  </si>
  <si>
    <t>Kashi Vishwanath</t>
  </si>
  <si>
    <t>Thighs, Hips, Liver, Arterial system</t>
  </si>
  <si>
    <t>Fun Loving, Adventurous, Very Optimistic, Confident, Attractive, Traditional, Active, Competitive</t>
  </si>
  <si>
    <t>Makara</t>
  </si>
  <si>
    <t>Capricorn</t>
  </si>
  <si>
    <t>Chatuspada 1st / Jalachara 2nd</t>
  </si>
  <si>
    <t>Various colours</t>
  </si>
  <si>
    <t>Marshlands</t>
  </si>
  <si>
    <t>Bhima Shankara</t>
  </si>
  <si>
    <t>Knees, Joints, Bones (lower body), Skin</t>
  </si>
  <si>
    <t>Hard Workers, Straight Forward, Methodical, Ambitious, Practical, Rational, Perfectionist, Calculative</t>
  </si>
  <si>
    <t>Kumbha</t>
  </si>
  <si>
    <t>Aquarius</t>
  </si>
  <si>
    <t>Dark Brown</t>
  </si>
  <si>
    <t>Potters Place</t>
  </si>
  <si>
    <t>Kedarnath</t>
  </si>
  <si>
    <t>Calves, Ankles, Shins, Circulatory system</t>
  </si>
  <si>
    <t>Sharp and quick, Emotional detachment, Stubborn, Mature, Creative, Friendly, Scientific, Philosophical, Rebel</t>
  </si>
  <si>
    <t>Meena</t>
  </si>
  <si>
    <t>Pisces</t>
  </si>
  <si>
    <t>Ubhadaya</t>
  </si>
  <si>
    <t>Ocean</t>
  </si>
  <si>
    <t>Tryambakeshwar</t>
  </si>
  <si>
    <t>Feet, Toes, Lymphatic system</t>
  </si>
  <si>
    <t>Very Moody, Loyal, Loving, Hopeful, Spiritual, Influenced easily, Very emotional, Beautiful, Highly Satvik</t>
  </si>
  <si>
    <t>Rashi</t>
  </si>
  <si>
    <t>Lord</t>
  </si>
  <si>
    <t>MTR</t>
  </si>
  <si>
    <t>Exalted Planet</t>
  </si>
  <si>
    <t>Debilitated Planet</t>
  </si>
  <si>
    <t>Deep Exaltation Degree</t>
  </si>
  <si>
    <t>Deep Debilitation Degree</t>
  </si>
  <si>
    <t>Moola Trikona Range</t>
  </si>
  <si>
    <t>Own House (Swakshetra)</t>
  </si>
  <si>
    <t>Mars</t>
  </si>
  <si>
    <t>Yes</t>
  </si>
  <si>
    <t>Sun</t>
  </si>
  <si>
    <t>Saturn</t>
  </si>
  <si>
    <t>10° (Sun)</t>
  </si>
  <si>
    <t>20° (Saturn)</t>
  </si>
  <si>
    <t>0°–12° Mesha (Mars)</t>
  </si>
  <si>
    <t>12°–30° Mesha (Mars)</t>
  </si>
  <si>
    <t>Venus</t>
  </si>
  <si>
    <t>Rahu, Moon</t>
  </si>
  <si>
    <t>3° (Moon)</t>
  </si>
  <si>
    <t>3°–30° Vrishabha (Moon)</t>
  </si>
  <si>
    <t>Vrishabha (Venus)</t>
  </si>
  <si>
    <t>Mercury</t>
  </si>
  <si>
    <t>Mithuna (Mercury)</t>
  </si>
  <si>
    <t>Moon</t>
  </si>
  <si>
    <t>Jupiter</t>
  </si>
  <si>
    <t>5° (Jupiter)</t>
  </si>
  <si>
    <t>28° (Mars)</t>
  </si>
  <si>
    <t>Karkataka (Moon)</t>
  </si>
  <si>
    <t>0°–20° Simha (Sun)</t>
  </si>
  <si>
    <t>20°–30° Simha (Sun)</t>
  </si>
  <si>
    <t>15° (Mercury)</t>
  </si>
  <si>
    <t>27° (Venus)</t>
  </si>
  <si>
    <t>16°–20° Kanya (Mercury)</t>
  </si>
  <si>
    <t>20°–30° Kanya (Mercury)</t>
  </si>
  <si>
    <t>0°–15° Tula (Venus)</t>
  </si>
  <si>
    <t>15°–30° Tula (Venus)</t>
  </si>
  <si>
    <t>Vrischika (Mars)</t>
  </si>
  <si>
    <t>0°–10° Dhanus (Jupiter)</t>
  </si>
  <si>
    <t>10°–30° Dhanus (Jupiter)</t>
  </si>
  <si>
    <t>Makara (Saturn)</t>
  </si>
  <si>
    <t>0°–20° Kumbha (Saturn)</t>
  </si>
  <si>
    <t>20°–30° Kumbha (Saturn)</t>
  </si>
  <si>
    <t>Meena (Jupiter)</t>
  </si>
  <si>
    <t>STHANA BALA — SUN (from Session 6)</t>
  </si>
  <si>
    <t>Position</t>
  </si>
  <si>
    <t>Rashi / Degree</t>
  </si>
  <si>
    <t>Strength %</t>
  </si>
  <si>
    <t>Exaltation (Uchha)</t>
  </si>
  <si>
    <t>Mesha · deep point 10°</t>
  </si>
  <si>
    <t>Garvita / Deepta</t>
  </si>
  <si>
    <t>Moola Trikona</t>
  </si>
  <si>
    <t>0°–20° Simha</t>
  </si>
  <si>
    <t>Sukitha</t>
  </si>
  <si>
    <t>Own House</t>
  </si>
  <si>
    <t>20°–30° Simha</t>
  </si>
  <si>
    <t>Swastha</t>
  </si>
  <si>
    <t>Friend's House</t>
  </si>
  <si>
    <t>—</t>
  </si>
  <si>
    <t>Mudita / Shantha</t>
  </si>
  <si>
    <t>Moderate</t>
  </si>
  <si>
    <t>Neutral House</t>
  </si>
  <si>
    <t>Neutral</t>
  </si>
  <si>
    <t>Enemy's House</t>
  </si>
  <si>
    <t>Dukitha</t>
  </si>
  <si>
    <t>Low</t>
  </si>
  <si>
    <t>Debilitation (Neecha)</t>
  </si>
  <si>
    <t>Tula · deep point 10°</t>
  </si>
  <si>
    <t>Deena / Susupti</t>
  </si>
  <si>
    <t>Lowest</t>
  </si>
  <si>
    <t>COMBUSTION RULE</t>
  </si>
  <si>
    <t>Combust range = within 5° of the Sun on either side (a 10° window). A planet this close to the Sun loses its lustre and is weakened — Astangata (combustion). Applies to Moon, Mars, Mercury, Jupiter, Venus and Saturn only; the Sun itself and the nodes Rahu &amp; Ketu are not subject to combustion.</t>
  </si>
  <si>
    <t>STHANA BALA — MOON (Positional Strength)</t>
  </si>
  <si>
    <t>SL</t>
  </si>
  <si>
    <t>Position (Sthana)</t>
  </si>
  <si>
    <t>Avastha</t>
  </si>
  <si>
    <t>Quantum of Strength</t>
  </si>
  <si>
    <t>Garvita (Proud), Deepta (Bright)</t>
  </si>
  <si>
    <t>3° Vrishabha</t>
  </si>
  <si>
    <t>3°–30° Vrishabha</t>
  </si>
  <si>
    <t>Swastha (Content)</t>
  </si>
  <si>
    <t>Mudita (Delighted), Shantha (Peaceful)</t>
  </si>
  <si>
    <t>Dukitha (Sad)</t>
  </si>
  <si>
    <t>Deena (Distressed), Susupti (Sleeping)</t>
  </si>
  <si>
    <t>3° Vrischika</t>
  </si>
  <si>
    <t>Note: Row 1 = Strongest, Row 7 = Weakest. Same scale applies to other planets — only the rashis change.</t>
  </si>
  <si>
    <t>STHANA BALA — JUPITER (Positional Strength)</t>
  </si>
  <si>
    <t>5° Karkataka</t>
  </si>
  <si>
    <t>0°–10° Dhanur</t>
  </si>
  <si>
    <t>10°–30° Dhanur &amp; full Meena</t>
  </si>
  <si>
    <t>5° Makara</t>
  </si>
  <si>
    <t>STHANA BALA — VENUS (Positional Strength)</t>
  </si>
  <si>
    <t>27° Meena</t>
  </si>
  <si>
    <t>0°–15° Tula</t>
  </si>
  <si>
    <t>15°–30° Tula &amp; full Vrishabha</t>
  </si>
  <si>
    <t>27° Kanya</t>
  </si>
  <si>
    <t>PLANET CHARACTERISTICS — MASTER TABLE</t>
  </si>
  <si>
    <t>Sun details populated from Session 6. Other planets will be filled in as future sessions cover them.</t>
  </si>
  <si>
    <t>Sun ☉</t>
  </si>
  <si>
    <t>Moon ☽</t>
  </si>
  <si>
    <t>Mars ♂</t>
  </si>
  <si>
    <t>Mercury ☿</t>
  </si>
  <si>
    <t>Jupiter ♃</t>
  </si>
  <si>
    <t>Venus ♀</t>
  </si>
  <si>
    <t>Saturn ♄</t>
  </si>
  <si>
    <t>Rahu ☊</t>
  </si>
  <si>
    <t>Ketu ☋</t>
  </si>
  <si>
    <t>BASIC IDENTITY</t>
  </si>
  <si>
    <t>Surya / Ravi</t>
  </si>
  <si>
    <t>Chandra</t>
  </si>
  <si>
    <t>Mangala / Kuja</t>
  </si>
  <si>
    <t>Budha</t>
  </si>
  <si>
    <t>Guru / Brihaspati</t>
  </si>
  <si>
    <t>Shukra</t>
  </si>
  <si>
    <t>Shani</t>
  </si>
  <si>
    <t>Symbol</t>
  </si>
  <si>
    <t>☉</t>
  </si>
  <si>
    <t>☽</t>
  </si>
  <si>
    <t>♂</t>
  </si>
  <si>
    <t>☿</t>
  </si>
  <si>
    <t>♃</t>
  </si>
  <si>
    <t>♀</t>
  </si>
  <si>
    <t>♄</t>
  </si>
  <si>
    <t>☊</t>
  </si>
  <si>
    <t>☋</t>
  </si>
  <si>
    <t>Ascending Node / Dragon Head</t>
  </si>
  <si>
    <t>Descending Node / Dragon Tail</t>
  </si>
  <si>
    <t>Inner / Outer</t>
  </si>
  <si>
    <t>Inner</t>
  </si>
  <si>
    <t>Outer</t>
  </si>
  <si>
    <t>Shadow planet</t>
  </si>
  <si>
    <t>MOVEMENT</t>
  </si>
  <si>
    <t>Days per Rashi</t>
  </si>
  <si>
    <t>~30 days</t>
  </si>
  <si>
    <t>~2¼ days</t>
  </si>
  <si>
    <t>~45–49 days</t>
  </si>
  <si>
    <t>~24 days</t>
  </si>
  <si>
    <t>~1 year</t>
  </si>
  <si>
    <t>~25–27 days</t>
  </si>
  <si>
    <t>~2½ years</t>
  </si>
  <si>
    <t>~1½ years</t>
  </si>
  <si>
    <t>Time for Full Zodiac</t>
  </si>
  <si>
    <t>~27 days</t>
  </si>
  <si>
    <t>~288 days</t>
  </si>
  <si>
    <t>~12 years</t>
  </si>
  <si>
    <t>~324 days</t>
  </si>
  <si>
    <t>~30 years</t>
  </si>
  <si>
    <t>~18 years</t>
  </si>
  <si>
    <t>Direction of Motion</t>
  </si>
  <si>
    <t>Direct</t>
  </si>
  <si>
    <t>Direct (occ. retrograde)</t>
  </si>
  <si>
    <t>Always Retrograde</t>
  </si>
  <si>
    <t>Aspects (Drishti)</t>
  </si>
  <si>
    <t>7th only (Inner)</t>
  </si>
  <si>
    <t>4th, 7th, 8th</t>
  </si>
  <si>
    <t>7th only (Saptama Drishti / Opposition, 180°)</t>
  </si>
  <si>
    <t>5th, 7th, 9th</t>
  </si>
  <si>
    <t>3rd, 7th, 10th</t>
  </si>
  <si>
    <t>(later session)</t>
  </si>
  <si>
    <t>DIGNITY / STHANA BALA</t>
  </si>
  <si>
    <t>Exaltation Rashi</t>
  </si>
  <si>
    <t>Vrishabha</t>
  </si>
  <si>
    <t>10° Mesha</t>
  </si>
  <si>
    <t>28° Makara</t>
  </si>
  <si>
    <t>15° Kanya</t>
  </si>
  <si>
    <t>20° Tula</t>
  </si>
  <si>
    <t>Debilitation Rashi</t>
  </si>
  <si>
    <t>10° Tula</t>
  </si>
  <si>
    <t>28° Karkataka</t>
  </si>
  <si>
    <t>15° Meena</t>
  </si>
  <si>
    <t>20° Mesha</t>
  </si>
  <si>
    <t>0°–12° Mesha</t>
  </si>
  <si>
    <t>15°–20° Kanya</t>
  </si>
  <si>
    <t>0°–20° Kumbha</t>
  </si>
  <si>
    <t>— (no MTR)</t>
  </si>
  <si>
    <t>Mesha, Vrischika</t>
  </si>
  <si>
    <t>Mithuna; Kanya (20°–30°)</t>
  </si>
  <si>
    <t>Dhanur, Meena</t>
  </si>
  <si>
    <t>Vrishabha, Tula</t>
  </si>
  <si>
    <t>Makara, Kumbha</t>
  </si>
  <si>
    <t>— (no rulership)</t>
  </si>
  <si>
    <t>KARAKATWAS (SIGNIFICATIONS)</t>
  </si>
  <si>
    <t>Soul / Mind / Body</t>
  </si>
  <si>
    <t>Soul (Atma)</t>
  </si>
  <si>
    <t>Mind (Manas), Emotions</t>
  </si>
  <si>
    <t>Protection (Key Word); Courage, Energy, Action</t>
  </si>
  <si>
    <t>Connection (Key Word); Intelligence, Knowledge / Information</t>
  </si>
  <si>
    <t>Wisdom &amp; Knowledge (Gnana Karaka); Auspiciousness, Expansion, Divinity</t>
  </si>
  <si>
    <t>Pleasure &amp; Love (Bhoga Karaka); Beauty, Romance, Artistic talent, Luxury</t>
  </si>
  <si>
    <t>Body / Longevity (Ayus); dispenser of Karma</t>
  </si>
  <si>
    <t>Relationships (Karaka of)</t>
  </si>
  <si>
    <t>Father, Father-in-law</t>
  </si>
  <si>
    <t>Mother, Mother-in-law, Elderly ladies</t>
  </si>
  <si>
    <t>Younger Brother</t>
  </si>
  <si>
    <t>Maternal Uncle, Boy friend, Girl friend, Lover, Brokers</t>
  </si>
  <si>
    <t>Children (Putra / Santana Karaka), Grandchildren, Elder Brother, Teachers</t>
  </si>
  <si>
    <t>Spouse / Wife (Kalatra Karaka), Daughter, Daughter-in-law, Aunt</t>
  </si>
  <si>
    <t>Elder brother, elderly &amp; poor people, servants, handicapped, masses, employees</t>
  </si>
  <si>
    <t>Profession / Status</t>
  </si>
  <si>
    <t>Authority, Government, Leadership, Boss, Administration, Management, Influential persons</t>
  </si>
  <si>
    <t>Travel agent, Agriculture, Hotel Industry, Nurse, Sailor, Dairy business, Grocery shop, Edible oil merchant, BWSSB</t>
  </si>
  <si>
    <t>Commander in Chief; Dentist, Surgeon, Mechanic, Army, Security, Police, Fire engine dept, Supervisor, Engineer</t>
  </si>
  <si>
    <t>Prince (Portfolio); Teacher, Writer, Author, Broker, Publisher, Public speaker, Journalist, Trader, Ambassador, Accountant, Book seller</t>
  </si>
  <si>
    <t>DevaGuru / Minister (Portfolio); Priest, Banker, Judge, Teacher, Counsellor, Financier, Auditor, Bullion trader</t>
  </si>
  <si>
    <t>Asura Guru / Shukracharya (Portfolio); Beautician, Costume designer, Artist, Musician, Singer, Dancer, Poet, Painter, Jeweller, Silk trader, Hotel &amp; Event Management</t>
  </si>
  <si>
    <t>Servants, labourers, cleaners, cobblers, iron/oil merchants, jailors, coffin makers, waste disposal</t>
  </si>
  <si>
    <t>Reputation</t>
  </si>
  <si>
    <t>Name &amp; Fame, Reputation, Visibility, Permanent Income</t>
  </si>
  <si>
    <t>Queen (Portfolio); emotional reputation; popularity with public</t>
  </si>
  <si>
    <t>Bhoomi Karaka — Landed property; recognition through valour</t>
  </si>
  <si>
    <t>Reputation through communication, speech, intellect and business</t>
  </si>
  <si>
    <t>Honour &amp; Respect (Gauravam); reputation through wisdom, wealth (Dhana Karaka) and benevolence</t>
  </si>
  <si>
    <t>Reputation through beauty, artistic talent, luxury and charm</t>
  </si>
  <si>
    <t>Earned slowly through hard work; humble / low status</t>
  </si>
  <si>
    <t>Personality Traits</t>
  </si>
  <si>
    <t>Ego, Vitality, Open-hearted, Equality, Generous, High Expectations, Punctual, Vertical</t>
  </si>
  <si>
    <t>Gentle, soft, caring, emotional; feminine energy; sensitive; imaginative; changes quickly like emotions</t>
  </si>
  <si>
    <t>Courageous, Aggressive, Energetic / Action-oriented, Adventurous, Hasty &amp; Quick / Dynamic, Impulsive, Faithful, Egoistic / Arrogant, Stubborn / Dominating, Quarrelsome, Anger, Retaliating</t>
  </si>
  <si>
    <t>Intelligent, Educated, Knowledgeable, Speech-oriented, Business-minded, Friendly &amp; Fun-loving, Cunning / Tricky, Diplomatic, Calculative, Smart, Adaptable</t>
  </si>
  <si>
    <t>Wise, Knowledgeable, Benevolent, Optimistic, Respectable, Generous, Spiritual, Just, Expansive</t>
  </si>
  <si>
    <t>Pleasant, Artistic, Romantic, Charming, Sensual, Luxury-loving, Beauty-conscious, Refined</t>
  </si>
  <si>
    <t>If strong: patient, disciplined, hardworking, philosophical. If weak: lazy, melancholic, inferiority complex</t>
  </si>
  <si>
    <t>Body Parts Ruled</t>
  </si>
  <si>
    <t>Eyes, Heart, Spine, Bones</t>
  </si>
  <si>
    <t>Left eye, Breast, Heart, Mind, Uterus, Urinary bladder</t>
  </si>
  <si>
    <t>Muscle, Bone marrow, RBC, Eyebrow, Teeth, Menstrual cycle</t>
  </si>
  <si>
    <t>Skin, Nerves, Tongue, Throat, Neck, Shoulder, Hands, Little finger, Forehead</t>
  </si>
  <si>
    <t>Liver, Pancreas, Gall bladder, Stomach, Thighs, Index finger, Nose, Fat, Ear</t>
  </si>
  <si>
    <t>Cheeks, Semen / Reproductive fluids, Kidneys, Luster of the eyes</t>
  </si>
  <si>
    <t>Chin, middle finger, knees, knee-caps, buttocks, foreleg, feet</t>
  </si>
  <si>
    <t>Constitution (Tridosha)</t>
  </si>
  <si>
    <t>Pitta (Hot)</t>
  </si>
  <si>
    <t>Pitta (Bile)</t>
  </si>
  <si>
    <t>Vatha (Wind)</t>
  </si>
  <si>
    <t>Kapha (Phlegmatic)</t>
  </si>
  <si>
    <t>General Health Indicator</t>
  </si>
  <si>
    <t>General Health, Vitality</t>
  </si>
  <si>
    <t>Mental health, fluids, immunity; Diseases: Cold, Cough, Phlegm, Mental disorders, Sinus, Swellings</t>
  </si>
  <si>
    <t>Diseases: Cuts, Wounds, Bleeding, BP, Piles, Anemia, Accidents</t>
  </si>
  <si>
    <t>Diseases: Skin disease, Itches, Sore throat, Tonsils, Dumbness, Leprosy</t>
  </si>
  <si>
    <t>Diseases: Jaundice, Liver complaints, Diabetes, Indigestion, Obesity, Flatulence</t>
  </si>
  <si>
    <t>Diseases: Diabetes, Kidney / Bladder stones, Urinary &amp; hormonal disorders, Thyroid, Venereal diseases</t>
  </si>
  <si>
    <t>Arthritis, chronic ailments, constipation, rheumatism, defective limbs, lethargy</t>
  </si>
  <si>
    <t>Nature</t>
  </si>
  <si>
    <t>Separative planet; causes combustion to nearby planets</t>
  </si>
  <si>
    <t>Benefic (when waxing/strong); feminine; water element; rules Karkataka</t>
  </si>
  <si>
    <t>Malefic; fiery; outer planet; karaka of energy, accidents, electricity, machinery, volcanic eruption</t>
  </si>
  <si>
    <t>Neutral planet — takes the nature of the planet it associates with; Rajasic; karaka of communication and intellect</t>
  </si>
  <si>
    <t>Most benevolent planet — greatest natural benefic (Subha Graha); Sathwik; Akasha tatwa</t>
  </si>
  <si>
    <t>Natural benefic; karaka of luxury, love &amp; material comforts; Rajasic; Jala tatwa</t>
  </si>
  <si>
    <t>Natural Malefic; Karma Phala Daata (hard task-master)</t>
  </si>
  <si>
    <t>MYTHOLOGY / DEITY</t>
  </si>
  <si>
    <t>Dasha Avatara</t>
  </si>
  <si>
    <t>Lord Rama</t>
  </si>
  <si>
    <t>Lord Krishna</t>
  </si>
  <si>
    <t>Lord Narasimha</t>
  </si>
  <si>
    <t>Buddha (Balarama)</t>
  </si>
  <si>
    <t>Vamana</t>
  </si>
  <si>
    <t>Parashurama</t>
  </si>
  <si>
    <t>Koorma (Tortoise)</t>
  </si>
  <si>
    <t>Birthday (Tithi)</t>
  </si>
  <si>
    <t>Prabhava Samvatsara, Magha Masa, Shukla Sapthami</t>
  </si>
  <si>
    <t>Nandana Samvatsara, Karthika Masa, Shukla Pournami</t>
  </si>
  <si>
    <t>Akshaya Samvatsara, Shravana Masa, Shukla Trayodashi</t>
  </si>
  <si>
    <t>Soumya Samvatsara, Jyeshta Masa, Krishna Ekadashi</t>
  </si>
  <si>
    <t>Angirasa Samvatsara, Vaishaka Masa, Shukla Ekadashi</t>
  </si>
  <si>
    <t>Manmatha Samvatsara, Chaitra Masa, Shukla Ekadashi</t>
  </si>
  <si>
    <t>Vibhava Samvatsara, Jyeshta Masa, Krishna Paksha – Amavasya</t>
  </si>
  <si>
    <t>Gothra</t>
  </si>
  <si>
    <t>Kashyapa</t>
  </si>
  <si>
    <t>Atreya</t>
  </si>
  <si>
    <t>Bharadwaja</t>
  </si>
  <si>
    <t>Angirasa</t>
  </si>
  <si>
    <t>Bhargava</t>
  </si>
  <si>
    <t>Consorts / Wives</t>
  </si>
  <si>
    <t>Sanjna &amp; Chaya</t>
  </si>
  <si>
    <t>27 Nakshatras (Rohini is his favourite)</t>
  </si>
  <si>
    <t>Shakthi</t>
  </si>
  <si>
    <t>Gnaani</t>
  </si>
  <si>
    <t>Tara</t>
  </si>
  <si>
    <t>Sukeerthi</t>
  </si>
  <si>
    <t>Jyeshta Devi</t>
  </si>
  <si>
    <t>Vehicle (Vahana)</t>
  </si>
  <si>
    <t>7 horses</t>
  </si>
  <si>
    <t>Sea Horse</t>
  </si>
  <si>
    <t>Red Ram</t>
  </si>
  <si>
    <t>Yellow Lion</t>
  </si>
  <si>
    <t>Crow / Buffalo</t>
  </si>
  <si>
    <t>Numerology Number</t>
  </si>
  <si>
    <t>8</t>
  </si>
  <si>
    <t>Combustion Effect (when combust by Sun)</t>
  </si>
  <si>
    <t>— (Sun is the combustor)</t>
  </si>
  <si>
    <t>Mind filled with ego; cannot think clearly</t>
  </si>
  <si>
    <t>Overconfident; feels can beat anyone</t>
  </si>
  <si>
    <t>Feels most intelligent</t>
  </si>
  <si>
    <t>Feels he knows everything; no need of Guru/God</t>
  </si>
  <si>
    <t>Unnecessary expenses on comforts, pleasures, entertainment</t>
  </si>
  <si>
    <t>Postpones work; thinks can finish in time even if late</t>
  </si>
  <si>
    <t>MOON — EXTENDED KARAKATWAS</t>
  </si>
  <si>
    <t>Portfolio</t>
  </si>
  <si>
    <t>Queen</t>
  </si>
  <si>
    <t>Commander in Chief</t>
  </si>
  <si>
    <t>Prince</t>
  </si>
  <si>
    <t>DevaGuru (Minister)</t>
  </si>
  <si>
    <t>Asura Guru (Shukracharya)</t>
  </si>
  <si>
    <t>Servants</t>
  </si>
  <si>
    <t>Jala (Water)</t>
  </si>
  <si>
    <t>Agni (Fire)</t>
  </si>
  <si>
    <t>Prithvi (Earth)</t>
  </si>
  <si>
    <t>Akasha (Ether)</t>
  </si>
  <si>
    <t>Vayu (Air)</t>
  </si>
  <si>
    <t>Sathwa</t>
  </si>
  <si>
    <t>Tamasik</t>
  </si>
  <si>
    <t>Rajasic</t>
  </si>
  <si>
    <t>Sathwik</t>
  </si>
  <si>
    <t>Rajasik</t>
  </si>
  <si>
    <t>Brahmana</t>
  </si>
  <si>
    <t>Sudra</t>
  </si>
  <si>
    <t>Color</t>
  </si>
  <si>
    <t>Blood Red</t>
  </si>
  <si>
    <t>Yellow</t>
  </si>
  <si>
    <t>Silky White</t>
  </si>
  <si>
    <t>Dark Blue / Black</t>
  </si>
  <si>
    <t>Metal</t>
  </si>
  <si>
    <t>Lead</t>
  </si>
  <si>
    <t>Copper</t>
  </si>
  <si>
    <t>Brass</t>
  </si>
  <si>
    <t>Gold</t>
  </si>
  <si>
    <t>Silver</t>
  </si>
  <si>
    <t>Iron</t>
  </si>
  <si>
    <t>Nava Dhanya</t>
  </si>
  <si>
    <t>Rice</t>
  </si>
  <si>
    <t>Toor dhal</t>
  </si>
  <si>
    <t>Green gram</t>
  </si>
  <si>
    <t>Bengal gram (Chana)</t>
  </si>
  <si>
    <t>Cow gram (Avarebele)</t>
  </si>
  <si>
    <t>Black Til (Sesame)</t>
  </si>
  <si>
    <t>Navarathna (Gemstone)</t>
  </si>
  <si>
    <t>Pearl</t>
  </si>
  <si>
    <t>Red Coral</t>
  </si>
  <si>
    <t>Emerald</t>
  </si>
  <si>
    <t>Yellow Sapphire (Kanaka Pushyaraga)</t>
  </si>
  <si>
    <t>Diamond</t>
  </si>
  <si>
    <t>Blue Sapphire (Neelam)</t>
  </si>
  <si>
    <t>Devatha</t>
  </si>
  <si>
    <t>Goddess Gouri, Rajarajeshwari</t>
  </si>
  <si>
    <t>Lord Karthikeya</t>
  </si>
  <si>
    <t>Lord Vishnu</t>
  </si>
  <si>
    <t>Dakshina Murthy (Guru form of Shiva)</t>
  </si>
  <si>
    <t>Goddess Lakshmi (Mahalakshmi)</t>
  </si>
  <si>
    <t>Shiva / Hanuman</t>
  </si>
  <si>
    <t>Taste</t>
  </si>
  <si>
    <t>Salt</t>
  </si>
  <si>
    <t>Bitter</t>
  </si>
  <si>
    <t>Mixed taste</t>
  </si>
  <si>
    <t>Sweet</t>
  </si>
  <si>
    <t>Sour</t>
  </si>
  <si>
    <t>Astringent (Kashaya)</t>
  </si>
  <si>
    <t>Drishti / Aspect</t>
  </si>
  <si>
    <t>7th house</t>
  </si>
  <si>
    <t>4th, 7th &amp; 8th house</t>
  </si>
  <si>
    <t>5th, 7th &amp; 9th house (special aspects)</t>
  </si>
  <si>
    <t>3rd, 7th, 10th (Special Aspects)</t>
  </si>
  <si>
    <t>Flower</t>
  </si>
  <si>
    <t>White Lily</t>
  </si>
  <si>
    <t>Red rose, Champaka</t>
  </si>
  <si>
    <t>Yellow Flowers</t>
  </si>
  <si>
    <t>North West</t>
  </si>
  <si>
    <t>North East</t>
  </si>
  <si>
    <t>South East</t>
  </si>
  <si>
    <t>Letters</t>
  </si>
  <si>
    <t>य र ल व श ष स ह (Ya, Ra, La, Va, Sha, Sha, Sa, Ha)</t>
  </si>
  <si>
    <t>क ख ग घ ङ (Ka, Kha, Ga, Gha, Nga)</t>
  </si>
  <si>
    <t>त थ द ध न (Ta, Tha, Da, Dha, Na)</t>
  </si>
  <si>
    <t>च छ ज झ ञ (Cha, Chha, Ja, Jha, Nya)</t>
  </si>
  <si>
    <t>प फ ब भ म (Pa, Pha, Ba, Bha, Ma)</t>
  </si>
  <si>
    <t>Education</t>
  </si>
  <si>
    <t>Psychology, Hotel Management, Marine Engineering, Hydraulics</t>
  </si>
  <si>
    <t>Engineering, Surgeon</t>
  </si>
  <si>
    <t>Mathematics, Statistics</t>
  </si>
  <si>
    <t>Philosophy, Audit, Counselling</t>
  </si>
  <si>
    <t>Hotel Management, Event Management</t>
  </si>
  <si>
    <t>Mining, excavation</t>
  </si>
  <si>
    <t>Season (Ritu)</t>
  </si>
  <si>
    <t>Varsha (Rainy season)</t>
  </si>
  <si>
    <t>Grishma (Summer season)</t>
  </si>
  <si>
    <t>Sharad Ritu (Autumn)</t>
  </si>
  <si>
    <t>Hemantha Ritu</t>
  </si>
  <si>
    <t>Vasantha Ritu (Spring)</t>
  </si>
  <si>
    <t>Shishira Ritu (Winter)</t>
  </si>
  <si>
    <t>Female</t>
  </si>
  <si>
    <t>Eunuch (Napumsaka)</t>
  </si>
  <si>
    <t>Shape</t>
  </si>
  <si>
    <t>Crescent</t>
  </si>
  <si>
    <t>Triangle</t>
  </si>
  <si>
    <t>Arrow</t>
  </si>
  <si>
    <t>Rectangle</t>
  </si>
  <si>
    <t>Pentagonal</t>
  </si>
  <si>
    <t>Bilva</t>
  </si>
  <si>
    <t>Parayana</t>
  </si>
  <si>
    <t>Soundarya Lahari</t>
  </si>
  <si>
    <t>Skanda Sashi Kavacham</t>
  </si>
  <si>
    <t>Vishnu Sahasranama</t>
  </si>
  <si>
    <t>Dakshina Murthy Stotram</t>
  </si>
  <si>
    <t>Ashta Lakshmi Stotram</t>
  </si>
  <si>
    <t>Rudra Suktam / Hanuman Chalisa</t>
  </si>
  <si>
    <t>Plants</t>
  </si>
  <si>
    <t>Banana Tree, Drumstick, Paddy Crops, Sugarcane</t>
  </si>
  <si>
    <t>Neem tree</t>
  </si>
  <si>
    <t>Tulsi, Amala</t>
  </si>
  <si>
    <t>Peepal / Aswath Vruksha, Coconut tree, Apple tree</t>
  </si>
  <si>
    <t>Fig tree (Audumbara Vriksha), White lotus</t>
  </si>
  <si>
    <t>Banni tree (Shami)</t>
  </si>
  <si>
    <t>Months of Pregnancy</t>
  </si>
  <si>
    <t>5th &amp; 9th month</t>
  </si>
  <si>
    <t>2nd month of Pregnancy</t>
  </si>
  <si>
    <t>7th month of Pregnancy</t>
  </si>
  <si>
    <t>3rd month</t>
  </si>
  <si>
    <t>1st month</t>
  </si>
  <si>
    <t>6th month of pregnancy</t>
  </si>
  <si>
    <t>Spices</t>
  </si>
  <si>
    <t>Salt, Rice</t>
  </si>
  <si>
    <t>Red chilli, Onion, Garlic, Red gram</t>
  </si>
  <si>
    <t>Honey, Coconut, Betel nut, Ghee, Turmeric</t>
  </si>
  <si>
    <t>Tamarind, Sugar</t>
  </si>
  <si>
    <t>Oil, Mustard, Black Til, Coffee seed, Tobacco, bitter fruits &amp; vegetables</t>
  </si>
  <si>
    <t>Household Articles</t>
  </si>
  <si>
    <t>Washing machine, Cooking vessels, Water filter</t>
  </si>
  <si>
    <t>Stove, Oven, Iron box, Heater, Grinder, Knives, Forks, Burnt cloth, Tools, Weapons, Electric meter</t>
  </si>
  <si>
    <t>Books, Pens, Study room, Hall, Documents</t>
  </si>
  <si>
    <t>Photographs of deities, articles used for Pooja, Pooja room</t>
  </si>
  <si>
    <t>Cot, bed, mat, clothes, dressing table, cosmetics, flower vase, perfume, mirror, musical instruments, silver articles, sandalwood, jewellery, silk, vehicles</t>
  </si>
  <si>
    <t>Door mat, dustbin, coal, cement, iron &amp; steel, old articles, petrol, minerals, lead, footwear, cold items, ice</t>
  </si>
  <si>
    <t>Animals</t>
  </si>
  <si>
    <t>Aquatic creatures</t>
  </si>
  <si>
    <t>Dogs</t>
  </si>
  <si>
    <t>Cat, Fox (Cunning)</t>
  </si>
  <si>
    <t>Cow, Swan, Elephant</t>
  </si>
  <si>
    <t>Cow, Peacock</t>
  </si>
  <si>
    <t>Buffalo, Bear, Pig, Crow</t>
  </si>
  <si>
    <t>Places</t>
  </si>
  <si>
    <t>Bathrooms, Tanks, Wells, Rivers, Distilleries, Ponds, Swimming pool</t>
  </si>
  <si>
    <t>Operation theatres, Gym, Sports club, Subramanya temple, Battle field, Hospitals, Accident zones</t>
  </si>
  <si>
    <t>Schools, Colleges, Commercial places, Library, Recreation clubs, Vishnu temple, Book stalls, Registration office, Printing press</t>
  </si>
  <si>
    <t>Treasury, Bank, Temples, Hermitage, Courts, Yoga &amp; Meditation centres</t>
  </si>
  <si>
    <t>Cinema theatres, Marriage halls, Discotheques, Malls, Beauty parlours, Pubs, Amusement parks, Gift shops, Liquor shops</t>
  </si>
  <si>
    <t>Hospitals, garbage dumps, old buildings, remote/dark/dirty areas, graveyards, slums, oil mines</t>
  </si>
  <si>
    <t>Beejakshari Mantra</t>
  </si>
  <si>
    <t>Om Shraam Shreem Shroum Sah Chandramase Namah</t>
  </si>
  <si>
    <t>Om Kraam Kreem Kroum Sah Bhaumaya Namah</t>
  </si>
  <si>
    <t>Om Bram Breem Brown Sah Budhayay Namah</t>
  </si>
  <si>
    <t>ॐ ग्रां ग्रीं ग्रौं सः गुरुवे नमः ॥ (Om Graam Greem Groum Sah Gurave Namah)</t>
  </si>
  <si>
    <t>ॐ द्रां द्रीं द्रौं सः शुक्राय नमः । (Om Draam Dreem Droum Sah Shukraya Namah)</t>
  </si>
  <si>
    <t>ॐ प्रां प्रीं प्रौं सः शनैश्चराय नमः । (Om Praam Preem Proum Sah Shanaishcharaya Namah)</t>
  </si>
  <si>
    <t>STRONG MOON gives</t>
  </si>
  <si>
    <t>Calmness, Emotional balance, Happiness, Good intuition, Mental peace</t>
  </si>
  <si>
    <t>WEAK MOON may give</t>
  </si>
  <si>
    <t>Anxiety, Overthinking, Emotional instability, Fearfulness, Mood fluctuations</t>
  </si>
  <si>
    <t>MOON RULES (Mind &amp; Emotions)</t>
  </si>
  <si>
    <t>Thoughts, Emotions, Mood swings, Mental peace, Sensitivity, Imagination</t>
  </si>
  <si>
    <t>MOON — PAKSHA (WAXING vs WANING)</t>
  </si>
  <si>
    <t>Two States</t>
  </si>
  <si>
    <t>Waxing (Vriddhi Chandra / Shukla Paksha / Bright Half) and Waning (Ksheena Chandra / Krishna Paksha / Dark Half)</t>
  </si>
  <si>
    <t>Shukla Paksha</t>
  </si>
  <si>
    <t>Waxing — Auspicious, Strong, Benefic, Powerful</t>
  </si>
  <si>
    <t>Krishna Paksha</t>
  </si>
  <si>
    <t>Waning — Inauspicious, Malefic, Powerless</t>
  </si>
  <si>
    <t>Strong Window</t>
  </si>
  <si>
    <t>Entire Shukla Paksha (Pratipada → Purnima)</t>
  </si>
  <si>
    <t>Weak Window</t>
  </si>
  <si>
    <t>Ashtami to Amavasya during Krishna Paksha</t>
  </si>
  <si>
    <t>How to Identify in Horoscope</t>
  </si>
  <si>
    <t>Count houses from Sun's rashi to Moon's rashi. If Moon falls in houses 1–7 from Sun → Shukla Paksha (waxing). If Moon falls in houses 8–12 from Sun → Krishna Paksha (waning).</t>
  </si>
  <si>
    <t>Amavasya Position</t>
  </si>
  <si>
    <t>Moon conjunct with Sun (same rashi, 0° apart)</t>
  </si>
  <si>
    <t>Poornima Position</t>
  </si>
  <si>
    <t>Moon 180° from Sun (7th rashi from Sun)</t>
  </si>
  <si>
    <t>MOON — ASPECT (DRISHTI)</t>
  </si>
  <si>
    <t>Saptama Drishti</t>
  </si>
  <si>
    <t>Moon aspects only the 7th house from its position (Opposition aspect, 180° away). Aspects both the 7th house and any planets posited there.</t>
  </si>
  <si>
    <t>MOON — GENERAL TRAITS / KEYWORDS</t>
  </si>
  <si>
    <t>Keywords</t>
  </si>
  <si>
    <t>Change, Container, Mind, Travel, Food, Caring/Nurturing, Change of place, Imaginative, Deceptive, Loss, Artistic, Fickle, Depleting</t>
  </si>
  <si>
    <t>MOON — MOVEMENT (Fastest Planet)</t>
  </si>
  <si>
    <t>Speed per Rashi</t>
  </si>
  <si>
    <t>1 Rashi (30°) in 2.25 days (2 days 6 hours)</t>
  </si>
  <si>
    <t>Speed per Degree</t>
  </si>
  <si>
    <t>1° in 1 hr 48 min (1.8 hrs)</t>
  </si>
  <si>
    <t>Full Zodiac</t>
  </si>
  <si>
    <t>All 12 rashis (360°) in 27 days</t>
  </si>
  <si>
    <t>Why It Matters</t>
  </si>
  <si>
    <t>Moon's speed creates the daily tithi — each new 12° of Sun–Moon separation marks a new tithi.</t>
  </si>
  <si>
    <t>TIP OF THE DAY — FOR PEACE OF MIND</t>
  </si>
  <si>
    <t>Core Equation</t>
  </si>
  <si>
    <t>MOON = FOOD + MIND + MOTHER</t>
  </si>
  <si>
    <t>Rule 1</t>
  </si>
  <si>
    <t>Never waste food. Moon indicates food — the more food you waste, the more mental worries you accumulate.</t>
  </si>
  <si>
    <t>Rule 2</t>
  </si>
  <si>
    <t>Take care of your mother well. The more you ill-treat your mother, the more mental stress you carry.</t>
  </si>
  <si>
    <t>Mantra Remedy</t>
  </si>
  <si>
    <t>Chant: Hare Rama Hare Rama Rama Rama Hare Hare / Hare Krishna Hare Krishna Krishna Krishna Hare Hare — brings Stress &amp; Anxiety Relief, Mental Clarity, Emotional Balance, Spiritual Awakening.</t>
  </si>
  <si>
    <t>MARS — KUJA DOSHA (MANGALIK) RULES</t>
  </si>
  <si>
    <t>Mars-related Dosha viewed seriously in marriage compatibility</t>
  </si>
  <si>
    <t>Definition</t>
  </si>
  <si>
    <t>A special dosha caused by Mars that affects marriage compatibility. Many cancellation rules exist — need not be feared.</t>
  </si>
  <si>
    <t>Dosha Houses</t>
  </si>
  <si>
    <t>2nd, 4th, 7th, 8th, 12th houses</t>
  </si>
  <si>
    <t>Reference Points</t>
  </si>
  <si>
    <t>Three reference points: (1) Lagna (Ascendant), (2) Moon, (3) Venus</t>
  </si>
  <si>
    <t>Strongest Source</t>
  </si>
  <si>
    <t>Lagna &gt; Venus &gt; Moon. Kuja Dosha from Moon is not that strong; Lagna is strongest.</t>
  </si>
  <si>
    <t>Highest Severity</t>
  </si>
  <si>
    <t>Highest impact when Mars is in 7th or 8th house from Lagna</t>
  </si>
  <si>
    <t>CANCELLATION RULES</t>
  </si>
  <si>
    <t>Mars occupies own house (Mesha/Vrischika), exaltation (Makara) or friend's house</t>
  </si>
  <si>
    <t>Mars is conjoined or aspected by Saturn</t>
  </si>
  <si>
    <t>Rule 3</t>
  </si>
  <si>
    <t>Native born with Karkataka Lagna or Simha Lagna — no Kuja Dosha</t>
  </si>
  <si>
    <t>Rule 4</t>
  </si>
  <si>
    <t>Born in nakshatras: Ashwini, Mrigashira, Punarvasu, Pushya, Ashlesha, Uttara, Swati, Anuradha, Shravana, Uttara Bhadra, Revathi</t>
  </si>
  <si>
    <t>Rule 5</t>
  </si>
  <si>
    <t>Marriage between two Mangalik individuals cancels the negative effects</t>
  </si>
  <si>
    <t>Rule 6</t>
  </si>
  <si>
    <t>Kuja Dosha reduces in intensity after the native crosses 28 years of age</t>
  </si>
  <si>
    <t>KUJA DOSHA — REMEDIES</t>
  </si>
  <si>
    <t>Practices to reduce intensity of Kuja Dosha</t>
  </si>
  <si>
    <t>Temple Worship</t>
  </si>
  <si>
    <t>Worship Subramanya Swamy Temple; Visit Hanuman temple on Tuesdays and Saturdays</t>
  </si>
  <si>
    <t>Mantra</t>
  </si>
  <si>
    <t>Recite Kuja Mantra; Chant Om Saravanaya Bhava; Chant Om Hanumataih Namaha; Even chanting Hanuman Chalisa is beneficial</t>
  </si>
  <si>
    <t>Fasting</t>
  </si>
  <si>
    <t>Fast on Tuesdays</t>
  </si>
  <si>
    <t>Charity</t>
  </si>
  <si>
    <t>Charity of Toor Dal and Red colour cloth on Tuesdays</t>
  </si>
  <si>
    <t>Behavioral</t>
  </si>
  <si>
    <t>Increase patience and discipline; decrease restlessness; offer red flowers</t>
  </si>
  <si>
    <t>Effects of Remedies</t>
  </si>
  <si>
    <t>Balances the energy of Mars; reduces intensity of the Dosha</t>
  </si>
  <si>
    <t>Additional Chants</t>
  </si>
  <si>
    <t>Om Saravanaya Bhava; Om Hanumataih Namaha; Hanuman Chalisa</t>
  </si>
  <si>
    <t>Severe Cases</t>
  </si>
  <si>
    <t>Can perform Kuja Shanti, Navagraha Shanti, or Khumba Vivaha (in case Kuja Dosha is intense)</t>
  </si>
  <si>
    <t>KARAKATWAS SUMMARY (Planet Roles)</t>
  </si>
  <si>
    <t>Atma Karaka, Pitru Karaka</t>
  </si>
  <si>
    <t>Mano Karaka, Matru Karaka</t>
  </si>
  <si>
    <t>Shakti Karaka, Bratru Karaka, Bhoomi Karaka</t>
  </si>
  <si>
    <t>Budhi Karaka, Matula Karaka</t>
  </si>
  <si>
    <t>TIP OF THE DAY — Strengthening Remedies</t>
  </si>
  <si>
    <t>Mercury (Budha) Tips</t>
  </si>
  <si>
    <t>1) Express gratitude in words or via a gratitude journal — always thank those who help you. 2) Plant and nourish trees. 3) Feed pigeons / parrots for improvement in business.</t>
  </si>
  <si>
    <t>Mars (Mangala) Tips</t>
  </si>
  <si>
    <t>1) Do regular exercise / physical activity. 2) Walk barefoot whenever possible. 3) Take good care of your younger brother. 4) Pray to Lord Subramanya. 5) Do charity for army, police or security personnel.</t>
  </si>
  <si>
    <t>Jupiter (Guru) Tips</t>
  </si>
  <si>
    <t>1) Donate turmeric in a temple for 8 days. 2) Visit temples regularly. 3) Serve saints &amp; gurus and give charity to Brahmins. 4) Wear clean yellow clothes on Thursdays. 5) Donate yellow items — turmeric, chana dal, bananas, saffron, yellow cloth — to the needy.</t>
  </si>
  <si>
    <t>Venus (Shukra) Tips</t>
  </si>
  <si>
    <t>1) Feed cows on Fridays. 2) Men should be clean-shaven. 3) Keep the kitchen neat &amp; clean. 4) Take good care of your wife. 5) Respect ladies. 6) Keep your house and surroundings clean.</t>
  </si>
  <si>
    <t>JUPITER — SPECIAL ASPECTS, TRANSIT &amp; GURUBALA</t>
  </si>
  <si>
    <t>Guru / Brihaspati — Session 9</t>
  </si>
  <si>
    <t>Special Aspects (Drishti)</t>
  </si>
  <si>
    <t>Jupiter aspects the 5th, 7th and 9th houses from its position. Its aspect is more powerful than its placement and casts a benefic influence on the aspected house or planet.</t>
  </si>
  <si>
    <t>Pushkara</t>
  </si>
  <si>
    <t>Pushkara means 'one who nourishes / purifies'. As Jupiter transits the rashis it grants nourishing power to the rivers (e.g., Ganga Pushkara when Jupiter is in Mesha; Godavari Pushkara). Generally lasts ~12 days at the start and ~12 days at the end.</t>
  </si>
  <si>
    <t>Current Transit (2026)</t>
  </si>
  <si>
    <t>Jupiter moved from Mithuna into Karkataka on 2 June 2026, stays there for approximately one year, and enters Simha in June 2027.</t>
  </si>
  <si>
    <t>Gurubala — Definition</t>
  </si>
  <si>
    <t>When transit Jupiter is in the 2nd, 5th, 7th, 9th or 11th rashi from the natal Moon, the native has 'Guru Bala' — a period of God's grace (Daiva Bala), highly favourable for auspicious functions such as marriage.</t>
  </si>
  <si>
    <t>Gurubala — How to Assess</t>
  </si>
  <si>
    <t>Count rashis from the natal Moon's rashi to transit Jupiter's rashi. If it falls in the 2nd, 5th, 7th, 9th or 11th house → Gurubala is present; otherwise it is absent.</t>
  </si>
  <si>
    <t>Gurubala — Example</t>
  </si>
  <si>
    <t>On 24/06/2026 (Jupiter in Karkataka): for Mesha-rashi natives Jupiter is 4th from Moon → no Gurubala; for Kanya-rashi natives it is 11th from Moon → Gurubala present; for Dhanur-rashi natives it is 8th → no Gurubala.</t>
  </si>
  <si>
    <t>VENUS — ASPECT (DRISHTI)</t>
  </si>
  <si>
    <t>Shukra — Session 9</t>
  </si>
  <si>
    <t>Venus aspects only the 7th house from its natal position (7th-house / opposition aspect).</t>
  </si>
  <si>
    <t>📚 GUIDE &amp; EXPLANATIONS</t>
  </si>
  <si>
    <t>TATWA (ELEMENTS) — Agni / Vayu / Prithvi / Jala</t>
  </si>
  <si>
    <t>Usage</t>
  </si>
  <si>
    <t>1) Used for Pariharas: Homa/lamps for Agni; Abhisheka/Teertha for Jala; Chanting Mantras for Vayu; Charity for Prithvi.
2) Used to check for natural calamities in Mundane Astrology.</t>
  </si>
  <si>
    <t>Energetic, hot, active, strong will, assertive, independent, likes popularity, sometimes dominating, likes to be in position.</t>
  </si>
  <si>
    <t>Creative, intellectual, logical, good planners, balanced, nervous.</t>
  </si>
  <si>
    <t>Perseverance, stability, hard work, materialistic, practical, self-centered, stubborn.</t>
  </si>
  <si>
    <t>Emotional, devotional, compassionate, receptive, intuitive, psychic, suspicious.</t>
  </si>
  <si>
    <t>Agni Sub-Types</t>
  </si>
  <si>
    <t>Mesha Agni = Forest fire (wild, spreads rapidly).
Simha Agni = Kitchen fire (used for cooking, productive purpose).
Dhanur Agni = Homa fire (spiritual awakening).</t>
  </si>
  <si>
    <t>Jala Sub-Types</t>
  </si>
  <si>
    <t>Karkataka Jala = Pure water like Ganga (nourishes).
Vrischika Jala = Polluted/deep waters.
Meena Jala = Ocean water.</t>
  </si>
  <si>
    <t>Prithvi Sub-Types</t>
  </si>
  <si>
    <t>Vrishabha = Agricultural land (bull used for tilling).
Kanya = Garden (young lady who loves flowers).
Makara = Marshy land (crocodile symbol).</t>
  </si>
  <si>
    <t>Vayu Sub-Types</t>
  </si>
  <si>
    <t>Mithuna = Intelligence used in communication (to impress, symbol = Male &amp; Female).
Tula = Intelligence used in business (symbol = Balance).
Kumbha = Intelligence used in creativity.</t>
  </si>
  <si>
    <t>CHARA / STHIRA / DWISABHAVA</t>
  </si>
  <si>
    <t>Chara (Moveable)</t>
  </si>
  <si>
    <t>Mesha, Karkataka, Tula, Makara — Flexible, adaptable, dynamic, achievers.</t>
  </si>
  <si>
    <t>Sthira (Fixed)</t>
  </si>
  <si>
    <t>Vrishabha, Simha, Vrischika, Kumbha — Rigid, firm on decisions, stubborn, determined, impractical.</t>
  </si>
  <si>
    <t>Dwisabhava (Dual)</t>
  </si>
  <si>
    <t>Mithuna, Kanya, Dhanur, Meena — Flexible or rigid depending on situation, indecisive, too cautious, calculative.</t>
  </si>
  <si>
    <t>Note</t>
  </si>
  <si>
    <t>If more planets are in Chara Rashis, the person travels always. In Sthira rashis, will stay at one place.</t>
  </si>
  <si>
    <t>VARNA</t>
  </si>
  <si>
    <t>Used in Match Making (Varna Koota). Male should be of higher varna than female. If both same varna, very good.</t>
  </si>
  <si>
    <t>PURUSHARTHAS</t>
  </si>
  <si>
    <t>Dharma Triangle (Mesha, Simha, Dhanur): Tendency towards religion and righteous deeds.</t>
  </si>
  <si>
    <t>Artha Triangle (Vrishabha, Kanya, Makara): Tendency towards earning and accumulating wealth.</t>
  </si>
  <si>
    <t>Kama Triangle (Mithuna, Tula, Kumbha): How successful in achieving desires.</t>
  </si>
  <si>
    <t>Moksha Triangle (Karkataka, Vrischika, Meena): Extent of achieving liberation.</t>
  </si>
  <si>
    <t>TRIGUNAS</t>
  </si>
  <si>
    <t>Religious, happy, work without expecting anything in return, sacrifice, healthy.</t>
  </si>
  <si>
    <t>Materialistic, desires, lust, proud.</t>
  </si>
  <si>
    <t>Carelessness, laziness, anger, dull headed.</t>
  </si>
  <si>
    <t>CONSTITUTION (DHATU / MOOLA / JEEVA)</t>
  </si>
  <si>
    <t>Non-living objects like metals, mineral objects.</t>
  </si>
  <si>
    <t>Living objects which have life but no movement like trees.</t>
  </si>
  <si>
    <t>Living beings like humans and animals.</t>
  </si>
  <si>
    <t>Mainly used for remedial purposes and in Prashna for identification of query.</t>
  </si>
  <si>
    <t>ODD / EVEN (MALE / FEMALE)</t>
  </si>
  <si>
    <t>Used to find gender of siblings, children, etc.</t>
  </si>
  <si>
    <t>Masculine, energetic, aggressive.</t>
  </si>
  <si>
    <t>Feminine, submissive, passive.</t>
  </si>
  <si>
    <t>BARREN &amp; FRUITFUL SIGNS</t>
  </si>
  <si>
    <t>Used to know about marriage and children. Jala Tatwa Rashis are fertile and fruitful.</t>
  </si>
  <si>
    <t>DAY / NIGHT</t>
  </si>
  <si>
    <t>Signs powerful during Night.</t>
  </si>
  <si>
    <t>Signs powerful during Day.</t>
  </si>
  <si>
    <t>RISING POSITIONS</t>
  </si>
  <si>
    <t>Used to know the success of a Prashna.</t>
  </si>
  <si>
    <t>LEGS CLASSIFICATION</t>
  </si>
  <si>
    <t>0 to 15 deg = first half, 15 to 30 deg = second half. Vanachara &gt; Dwipada &gt; (Jalachara = Keeta = Chatuspada).</t>
  </si>
  <si>
    <t>TRIDOSHA (MEDICAL ASTROLOGY)</t>
  </si>
  <si>
    <t>Used in Medical astrology for knowing body constitution and diseases caused by imbalance.</t>
  </si>
  <si>
    <t>Airy/Windy constitution.</t>
  </si>
  <si>
    <t>Bilious constitution.</t>
  </si>
  <si>
    <t>Phlegmatic constitution.</t>
  </si>
  <si>
    <t>JYOTHIRLINGAS — 12 Sacred Temples</t>
  </si>
  <si>
    <t>1. Somnath</t>
  </si>
  <si>
    <t>Prabhasapattan, near Veraval, Saurashtra, Gujarat</t>
  </si>
  <si>
    <t>2. Mallikarjun</t>
  </si>
  <si>
    <t>Shrishailya, Andhra Pradesh</t>
  </si>
  <si>
    <t>3. Mahanakal</t>
  </si>
  <si>
    <t>Ujjain, Madhya Pradesh</t>
  </si>
  <si>
    <t>4. Omkareshwar</t>
  </si>
  <si>
    <t>Omkar, Mandhata, Madhya Pradesh</t>
  </si>
  <si>
    <t>5. Kedarnath</t>
  </si>
  <si>
    <t>Himalayas</t>
  </si>
  <si>
    <t>6. Bhimashankar</t>
  </si>
  <si>
    <t>Dakini region, Taluka Khed, District Pune, Maharashtra</t>
  </si>
  <si>
    <t>7. Vishveshwar</t>
  </si>
  <si>
    <t>Varanasi, Uttar Pradesh</t>
  </si>
  <si>
    <t>8. Tryambakeshwar</t>
  </si>
  <si>
    <t>Near Nashik, Maharashtra</t>
  </si>
  <si>
    <t>9. Vaidyanath</t>
  </si>
  <si>
    <t>Parli, District Beed, Maharashtra</t>
  </si>
  <si>
    <t>10. Nageshwara</t>
  </si>
  <si>
    <t>Darukavan, Oundh, District Hingoli, Maharashtra</t>
  </si>
  <si>
    <t>11. Rameshwaram</t>
  </si>
  <si>
    <t>Setubandh, near Kanyakumari, Tamilnadu</t>
  </si>
  <si>
    <t>12. Ghrushneshwar</t>
  </si>
  <si>
    <t>Verul, District Aurangabad, Maharashtra</t>
  </si>
  <si>
    <t>JANMA LAGNA vs JANMA RASHI</t>
  </si>
  <si>
    <t>Janma Lagna</t>
  </si>
  <si>
    <t>The sign (rashi) rising on the eastern horizon at birth. Shows physical body, personality, how people see you, your natural approach to life. Duration: ~2 hours per lagna (12 lagnas in 24 hours).</t>
  </si>
  <si>
    <t>Janma Rashi</t>
  </si>
  <si>
    <t>The sign where Moon is placed. Indicates the mentality of the person.</t>
  </si>
  <si>
    <t>Key Difference</t>
  </si>
  <si>
    <t>Janma Lagna = physical characteristics &amp; personality. Janma Rashi = mental characteristics &amp; inner nature.</t>
  </si>
  <si>
    <t>SESSION 6 — PLANETS, SUN &amp; POSITIONAL STRENGTH (14/05/2026)</t>
  </si>
  <si>
    <t>PLANETS &amp; SANSKRIT NAMES</t>
  </si>
  <si>
    <t>Each planet (Graha) travels through the 12 Rashis. The Nakshatras (stars) are like fixed platforms; planets are like trains moving over them.</t>
  </si>
  <si>
    <t>Sun (Surya / Ravi)</t>
  </si>
  <si>
    <t>Symbol ☉ · ~30 days per Rashi · ~1 year to complete the zodiac.</t>
  </si>
  <si>
    <t>Symbol ☽ · ~2¼ days per Rashi · ~27 days for the zodiac.</t>
  </si>
  <si>
    <t>Mars (Mangala / Kuja)</t>
  </si>
  <si>
    <t>Symbol ♂ · ~45–49 days per Rashi · ~1½ years for the zodiac.</t>
  </si>
  <si>
    <t>Symbol ☿ · ~24 days per Rashi · ~288 days for the zodiac (approx).</t>
  </si>
  <si>
    <t>Symbol ♃ · ~1 year per Rashi · ~12 years for the zodiac.</t>
  </si>
  <si>
    <t>Symbol ♀ · ~25–27 days per Rashi · ~324 days for the zodiac (approx).</t>
  </si>
  <si>
    <t>Symbol ♄ · ~2½ years per Rashi · ~30 years for the zodiac.</t>
  </si>
  <si>
    <t>Rahu (Ascending Node / Dragon Head)</t>
  </si>
  <si>
    <t>Symbol ☊ · ~1½ years per Rashi · ~18 years for the zodiac. Moves in retrograde direction.</t>
  </si>
  <si>
    <t>Ketu (Descending Node / Dragon Tail)</t>
  </si>
  <si>
    <t>Symbol ☋ · ~1½ years per Rashi · ~18 years for the zodiac. Always opposite Rahu.</t>
  </si>
  <si>
    <t>INNER vs OUTER PLANETS</t>
  </si>
  <si>
    <t>Inner Planets</t>
  </si>
  <si>
    <t>Sun, Mercury, Venus and Moon — have only ONE aspect: the 7th aspect from their position.</t>
  </si>
  <si>
    <t>Outer Planets</t>
  </si>
  <si>
    <t>Mars, Jupiter and Saturn — in addition to the 7th aspect, each has TWO more special aspects (covered in detail in later sessions).</t>
  </si>
  <si>
    <t>RASHI ADIPATHIS (Lords of the 12 Rashis)</t>
  </si>
  <si>
    <t>Every Rashi has a planetary lord. Sun and Moon each rule one rashi; the other five planets rule two rashis each. Rahu/Ketu do not own any rashi.</t>
  </si>
  <si>
    <t>1. Mesha (Aries)</t>
  </si>
  <si>
    <t>2. Vrishabha (Taurus)</t>
  </si>
  <si>
    <t>3. Mithuna (Gemini)</t>
  </si>
  <si>
    <t>4. Karkataka (Cancer)</t>
  </si>
  <si>
    <t>5. Simha (Leo)</t>
  </si>
  <si>
    <t>6. Kanya (Virgo)</t>
  </si>
  <si>
    <t>7. Tula (Libra)</t>
  </si>
  <si>
    <t>8. Vrischika (Scorpio)</t>
  </si>
  <si>
    <t>9. Dhanur (Sagittarius)</t>
  </si>
  <si>
    <t>10. Makara (Capricorn)</t>
  </si>
  <si>
    <t>11. Kumbha (Aquarius)</t>
  </si>
  <si>
    <t>12. Meena (Pisces)</t>
  </si>
  <si>
    <t>ABOUT SUN GOD (SURYA)</t>
  </si>
  <si>
    <t>Birthday</t>
  </si>
  <si>
    <t>Wives</t>
  </si>
  <si>
    <t>Vehicle</t>
  </si>
  <si>
    <t>Number (Numerology)</t>
  </si>
  <si>
    <t>KARAKATWAS (Significations) OF SUN</t>
  </si>
  <si>
    <t>The Sun represents the following in a horoscope:</t>
  </si>
  <si>
    <t>Sun is the Karaka (significator) of the soul — the inner self.</t>
  </si>
  <si>
    <t>Vitality &amp; General Health</t>
  </si>
  <si>
    <t>Life force, energy, and overall constitution.</t>
  </si>
  <si>
    <t>Authority &amp; Government</t>
  </si>
  <si>
    <t>Power, position, government service, dealings with authorities.</t>
  </si>
  <si>
    <t>Father / Father-in-law</t>
  </si>
  <si>
    <t>Karaka of paternal figures and their wellbeing.</t>
  </si>
  <si>
    <t>Ego &amp; Self-Esteem</t>
  </si>
  <si>
    <t>Sense of self, pride, self-importance.</t>
  </si>
  <si>
    <t>Name, Fame &amp; Reputation</t>
  </si>
  <si>
    <t>Public recognition, visibility, status in society.</t>
  </si>
  <si>
    <t>Leadership &amp; Administration</t>
  </si>
  <si>
    <t>Boss-type roles, management, influential positions.</t>
  </si>
  <si>
    <t>Open-hearted, Equality, Generous</t>
  </si>
  <si>
    <t>Magnanimity, broad-minded approach, high expectations.</t>
  </si>
  <si>
    <t>Punctuality &amp; Discipline</t>
  </si>
  <si>
    <t>Vertical posture, structured behaviour, permanent income.</t>
  </si>
  <si>
    <t>Eyes &amp; Heart</t>
  </si>
  <si>
    <t>Body parts ruled: eyes, heart, spine and bones.</t>
  </si>
  <si>
    <t>Hot Planet / Pitta</t>
  </si>
  <si>
    <t>Pitta constitution — fiery, heat-producing nature.</t>
  </si>
  <si>
    <t>Separative Planet</t>
  </si>
  <si>
    <t>Causes separation from people / things signified by the house it occupies. Also causes COMBUSTION to any planet placed close to it.</t>
  </si>
  <si>
    <t>OPPOSITE RASHIS (7th from each other)</t>
  </si>
  <si>
    <t>Each rashi has an opposite rashi 180° away. Useful for understanding 7th aspect, debilitation (always opposite exaltation), and partnerships.</t>
  </si>
  <si>
    <t>Mesha ↔ Tula</t>
  </si>
  <si>
    <t>Aries opposite Libra</t>
  </si>
  <si>
    <t>Vrishabha ↔ Vrischika</t>
  </si>
  <si>
    <t>Taurus opposite Scorpio</t>
  </si>
  <si>
    <t>Mithuna ↔ Dhanur</t>
  </si>
  <si>
    <t>Gemini opposite Sagittarius</t>
  </si>
  <si>
    <t>Karkataka ↔ Makara</t>
  </si>
  <si>
    <t>Cancer opposite Capricorn</t>
  </si>
  <si>
    <t>Simha ↔ Kumbha</t>
  </si>
  <si>
    <t>Leo opposite Aquarius</t>
  </si>
  <si>
    <t>Kanya ↔ Meena</t>
  </si>
  <si>
    <t>Virgo opposite Pisces</t>
  </si>
  <si>
    <t>ASPECT (DRISHTI) OF SUN</t>
  </si>
  <si>
    <t>Sun is an Inner Planet — it casts only its 7th aspect from its position. Example: Sun in Mesha aspects Tula (the 7th rashi from Mesha).</t>
  </si>
  <si>
    <t>MOVEMENT OF SUN: UTTARAYANA / DAKSHINAYANA / SANKRAMANA</t>
  </si>
  <si>
    <t>Uttarayana</t>
  </si>
  <si>
    <t>Sun's northward journey through Makara → Kumbha → Meena → Mesha → Vrishabha → Mithuna. Begins on Makara Shankranthi (Jan 14/15) when Sun enters Makara rashi. Considered an auspicious period.</t>
  </si>
  <si>
    <t>Dakshinayana</t>
  </si>
  <si>
    <t>Sun's southward journey through Karkataka → Simha → Kanya → Tula → Vrischika → Dhanur. Begins around Jul 16/17 when Sun enters Karkataka.</t>
  </si>
  <si>
    <t>Sankramana (Solar Ingress)</t>
  </si>
  <si>
    <t>The day on which Sun moves from one rashi into the next. On this day, NO auspicious events (Muhurtha for Marriage, Upanayana, Namakarana, etc.) should be fixed.</t>
  </si>
  <si>
    <t>Solar Month (Masa)</t>
  </si>
  <si>
    <t>Named after the rashi the Sun currently occupies. E.g. Sun in Vrishabha = Vrishabha Masa.</t>
  </si>
  <si>
    <t>APPROXIMATE DATES OF SOLAR INGRESS (Sun entering each Rashi)</t>
  </si>
  <si>
    <t>Mesha (Aries)</t>
  </si>
  <si>
    <t>Apr 14/15 — Mesha Sankramana / Solar New Year</t>
  </si>
  <si>
    <t>Vrishabha (Taurus)</t>
  </si>
  <si>
    <t>May 14/15</t>
  </si>
  <si>
    <t>Mithuna (Gemini)</t>
  </si>
  <si>
    <t>Jun 14/15</t>
  </si>
  <si>
    <t>Karkataka (Cancer)</t>
  </si>
  <si>
    <t>Jul 16/17 — Start of DAKSHINAYANA</t>
  </si>
  <si>
    <t>Simha (Leo)</t>
  </si>
  <si>
    <t>Aug 16/17</t>
  </si>
  <si>
    <t>Kanya (Virgo)</t>
  </si>
  <si>
    <t>Sep 16/17</t>
  </si>
  <si>
    <t>Tula (Libra)</t>
  </si>
  <si>
    <t>Oct 17/18</t>
  </si>
  <si>
    <t>Vrischika (Scorpio)</t>
  </si>
  <si>
    <t>Nov 16/17</t>
  </si>
  <si>
    <t>Dhanur (Sagittarius)</t>
  </si>
  <si>
    <t>Dec 15/16</t>
  </si>
  <si>
    <t>Makara (Capricorn)</t>
  </si>
  <si>
    <t>Jan 14/15 — MAKARA SHANKRANTHI / Start of UTTARAYANA</t>
  </si>
  <si>
    <t>Kumbha (Aquarius)</t>
  </si>
  <si>
    <t>Feb 14/15</t>
  </si>
  <si>
    <t>Meena (Pisces)</t>
  </si>
  <si>
    <t>Mar 14/15</t>
  </si>
  <si>
    <t>STHANA BALA (POSITIONAL STRENGTH) OF PLANETS</t>
  </si>
  <si>
    <t>Strength of a planet based on the rashi it occupies, from strongest to weakest.</t>
  </si>
  <si>
    <t>Strongest → Weakest order</t>
  </si>
  <si>
    <t>1. Exaltation → 2. Moola Trikona → 3. Own House → 4. Friend's House → 5. Neutral House → 6. Enemy's House → 7. Debilitation</t>
  </si>
  <si>
    <t>Exaltation (Uchha Sthana)</t>
  </si>
  <si>
    <t>The rashi where a planet expresses its qualities in the strongest, purest, most powerful way — like a king sitting on a royal throne. Each planet has ONE sign of exaltation.</t>
  </si>
  <si>
    <t>Debilitation (Neecha Sthana)</t>
  </si>
  <si>
    <t>The rashi where a planet feels weak, uncomfortable, restricted — always 7th from (180° opposite to) its exaltation rashi. Like a king placed in a foreign land. Results still come, but with struggle, delay, imbalance, or immaturity.</t>
  </si>
  <si>
    <t>A special core working zone within a rashi where the planet feels stable, powerful, and naturally able to express its true nature — like a king ruling his own kingdom.</t>
  </si>
  <si>
    <t>Own Sign (Swakshetra)</t>
  </si>
  <si>
    <t>The rashi(s) that the planet lords — like being comfortably at home with family.</t>
  </si>
  <si>
    <t>King analogy</t>
  </si>
  <si>
    <t>Exaltation = king honoured at a grand celebration (highest power). Moola Trikona = king ruling his own kingdom (mastery &amp; balance). Own Sign = king relaxing at home (comfort &amp; stability).</t>
  </si>
  <si>
    <t>STHANA BALA OF SUN — Quantum of Strength</t>
  </si>
  <si>
    <t>Sanskrit name / Degree / Strength %</t>
  </si>
  <si>
    <t>Garvita (Proud) / Deepta (Bright) · Deep exaltation point = 10° Mesha · Strength = 100%</t>
  </si>
  <si>
    <t>Sukitha · 0° to 20° of Simha · Strength = 75%</t>
  </si>
  <si>
    <t>Swastha (Content) · Simha (20°–30°) · Strength = 50%</t>
  </si>
  <si>
    <t>Mudita (Delighted) / Shantha (Peaceful)</t>
  </si>
  <si>
    <t>Neutral / moderate strength</t>
  </si>
  <si>
    <t>Deena (Distressed) / Susupti (Sleeping) · Deep debilitation point = 10° Tula · Strength = lowest</t>
  </si>
  <si>
    <t>COMBUSTION (ASTHANGATA)</t>
  </si>
  <si>
    <t>When a planet comes very near the Sun, it gets burnt by the Sun's heat — loses its luster and shine, becomes almost powerless. The affected planet is called a Combust Planet.</t>
  </si>
  <si>
    <t>Combustion Range</t>
  </si>
  <si>
    <t>Sun's Degree ± 5°. Any planet within this 10° window (and in same/adjacent rashi accounting for the wrap) is combust.</t>
  </si>
  <si>
    <t>Example 1</t>
  </si>
  <si>
    <t>Sun at 12° Mithuna → Combust range = 7° to 17° Mithuna. If Mercury is at 9° Mithuna → Combust. If Venus is at 26° Mithuna → NOT combust.</t>
  </si>
  <si>
    <t>Example 2 (wrap-around)</t>
  </si>
  <si>
    <t>Sun at 2° Makara → 2° − 5° = −3° → deduct from previous rashi: 30° − 3° = 27° Dhanur. So combust range = 27° Dhanur to 7° Makara.</t>
  </si>
  <si>
    <t>EFFECTS OF COMBUSTION (Sun = Ego, so the combust planet's signification gets infused with ego)</t>
  </si>
  <si>
    <t>Combust Moon (Mind)</t>
  </si>
  <si>
    <t>Mind is filled with ego — the person cannot think with clarity.</t>
  </si>
  <si>
    <t>Combust Mars (Stamina)</t>
  </si>
  <si>
    <t>Overconfidence — feels they can beat anyone, in a real fight or with words.</t>
  </si>
  <si>
    <t>Combust Mercury (Intellect)</t>
  </si>
  <si>
    <t>Person feels he is the most intelligent.</t>
  </si>
  <si>
    <t>Combust Jupiter (Wisdom)</t>
  </si>
  <si>
    <t>Feels he knows everything — no need of a Guru, God or any guidance.</t>
  </si>
  <si>
    <t>Combust Venus (Comforts)</t>
  </si>
  <si>
    <t>Lot of unnecessary expenditure on comforts, sexual pleasures, love and entertainment.</t>
  </si>
  <si>
    <t>Combust Saturn (Work)</t>
  </si>
  <si>
    <t>Postpones things — thinks they can finish in time even if they start late.</t>
  </si>
  <si>
    <t>EXALTATION / DEBILITATION / MOOLA TRIKONA — SUN</t>
  </si>
  <si>
    <t>Exaltation (Uchha) of Sun</t>
  </si>
  <si>
    <t>Mesha (Aries) · Deep exaltation point = 10° Mesha</t>
  </si>
  <si>
    <t>Debilitation (Neecha) of Sun</t>
  </si>
  <si>
    <t>Tula (Libra) · Deep debilitation point = 10° Tula · Always 180° opposite the exaltation rashi</t>
  </si>
  <si>
    <t>Moola Trikona of Sun</t>
  </si>
  <si>
    <t>0° to 20° of Simha (Leo)</t>
  </si>
  <si>
    <t>Own House (Swakshetra) of Sun</t>
  </si>
  <si>
    <t>Simha (Leo) — 20° to 30° portion (since 0–0 is Moola Trikona)</t>
  </si>
  <si>
    <t>Odd (Male)/ Even (Female)</t>
  </si>
  <si>
    <t>Abni/Vayu/Prithvi/Jala</t>
  </si>
  <si>
    <t>NEWS</t>
  </si>
  <si>
    <t>Purusharthas</t>
  </si>
  <si>
    <t>Trigunas</t>
  </si>
  <si>
    <t>Barren &amp; Fruitful signs</t>
  </si>
  <si>
    <t>Day / Night</t>
  </si>
  <si>
    <t>Rising Positions</t>
  </si>
  <si>
    <t>Colours</t>
  </si>
  <si>
    <t>Jyothirlingas</t>
  </si>
  <si>
    <t>Kala Purusha Body Parts</t>
  </si>
  <si>
    <t>Mindset of the person</t>
  </si>
  <si>
    <t>Odd</t>
  </si>
  <si>
    <t>Head</t>
  </si>
  <si>
    <t>Energetic, Active, Change, Aggressive, Initiative, Impulsive, Restless, Bold, Wants to Lead</t>
  </si>
  <si>
    <t>Even</t>
  </si>
  <si>
    <t>Face, Eye, Mouth</t>
  </si>
  <si>
    <t>Stability, Focused, Practical, Patience, Nourishment, Charming, Responsibility, Satisfied, Don’t like change, Stubborn</t>
  </si>
  <si>
    <t>Neck, Arms</t>
  </si>
  <si>
    <t>Good communication, Intelligent, Artistic, Confused, Humorous, Multitasking, Creative, Adaptable, Fickle minded, Writers,  indicates the neck of the Kala purusha , neck enables the head to turn and see in different directions so that is the reason mithuna ppl are always searching for different options</t>
  </si>
  <si>
    <t>Heart, Lungs</t>
  </si>
  <si>
    <t>Emotional, Sensitive, Honest, Mood swings, Motherly nature, Peace loving, Warmth, Nurturing, Soft nature, Psychic</t>
  </si>
  <si>
    <t>Stomach, Womb</t>
  </si>
  <si>
    <t>Energetic, Aggressive, Egoistic, Good in administration, Generous, Dominating, Competitve, Leaders, Helping nature, Self respect.</t>
  </si>
  <si>
    <t>Variegeted</t>
  </si>
  <si>
    <t>Hip, Intestine</t>
  </si>
  <si>
    <t>Practical, Critical, Perfectionist, Cleanliness, Observant, Intelligent, Feminine Looks, Reserved, Calculated risk, Organised. Highly logical and analytical.</t>
  </si>
  <si>
    <t>Kidneys</t>
  </si>
  <si>
    <t>Attractive, Extroverts, Well Mannered, Peace makers, Diplomatic, Good negotiators, Charming, Foresight and planning, good advice givers, business minded</t>
  </si>
  <si>
    <t>Private Parts</t>
  </si>
  <si>
    <t>Secretive, Pessimistic, Possessive, Good researchers, Revenge, Penetrating Gaze, Mood swings, Good imagination, Fears and Phobias, Anxiety</t>
  </si>
  <si>
    <t>Dwipada 1st half / Chatuspada 2nd half</t>
  </si>
  <si>
    <t>Thighs</t>
  </si>
  <si>
    <t>Fun Loving, Adventurous, Very Optimistic, Confident, Attractive, Traditional, Good nature, Idealistic, Active, Competitive</t>
  </si>
  <si>
    <t>Chatuspada 1st half / Jalachara 2nd half</t>
  </si>
  <si>
    <t>Watery Forest / Marshlands</t>
  </si>
  <si>
    <t>Knees</t>
  </si>
  <si>
    <t>Hard Workers, Straight Forward talkers, Methodical, Systematical, Ambitious, Practical, Rational, Perfectionist, Calculative, Stress</t>
  </si>
  <si>
    <t>Ankles, Legs</t>
  </si>
  <si>
    <t>Sharp and quick, Emotional detachment, Stubborn, Mature, Creative, Friendly, Scientific, Philosophical, Original thinking, Rebel</t>
  </si>
  <si>
    <t>Feet</t>
  </si>
  <si>
    <t>Very Moody, Loyal, Loving, Hopeful, Spiritual, Influenced easily, big change, very emotional, beautiful, highly satvik</t>
  </si>
  <si>
    <t>1 ) Used for giving Pariharas like Homa or lighting of lamps for Agni tatwa rashis. Abhisheka , Teerthasthana for Jala Tatwa rashis</t>
  </si>
  <si>
    <t>Chanting of Mantras for Vayu tatwa rashis</t>
  </si>
  <si>
    <t>Charity for Prithwi tatwa rashis</t>
  </si>
  <si>
    <t>2 ) To check for natural calamities like earthquake , tsunami , fire accidents in Mundane Astology</t>
  </si>
  <si>
    <t>AGNI ( Firy ) TATWA Guna :Energetic , hot , active , Strong will , Assertive , independent , likes popularity , sometimes dominating , likes to be in position</t>
  </si>
  <si>
    <t>Vayu ( Airy ) Tatwa Guna : Creative , Intellectual . Logical , good planners , balanced , nervous</t>
  </si>
  <si>
    <t>Prithvi ( Earthy )Tatwa Guna : Perseverence , stability , Hard work, Materialistic , Practical ,self centered, stubborn</t>
  </si>
  <si>
    <t>Jala ( Watery ) Tatwa Guna :Emotional , devotional , Compassionate , Receptive , intutive , psychic, suspicious</t>
  </si>
  <si>
    <t>Chara Rashis or Moveable Signs ( Mesha , Karkataka , Tula , Vrischika ) Flexible , adoptable , dynamic, achievers ,</t>
  </si>
  <si>
    <t>Sthira Rashis or Fixed Signs (Vrishabha , Simha , Vrischika , Kumbha ) Rigid , firm on their decisions, stubborn ,determined, permanent ,impractical</t>
  </si>
  <si>
    <t>Dwiswabhava Rashis or Dual Signs ( all corner signs ) flexible or rigid depending on situation , indecisiveness , too cautious ,calculative , worries about what others woild think</t>
  </si>
  <si>
    <t>If more planets are in Chara Rashis in a horoscope , then the person would be travelling always , in Sthira rashis , will like to stay at one place</t>
  </si>
  <si>
    <t>Used in Match Making called Varna Koota, Male should be of a higher varna than that of Female. If both belong to the same varna it is very good.</t>
  </si>
  <si>
    <t>Dharma Triangle (Mesha, Simha, Dhanur) shows a persons tendency towards religion and righteous deeds</t>
  </si>
  <si>
    <t>Artha Triangle (Vrishabha, Kanya, Makara) indicates a person tendency towards earning and accumulating wealth</t>
  </si>
  <si>
    <t>Kama Triangle (Mithuna, Tula, Kumbha) shows how successful a person will be in achieving his desires.</t>
  </si>
  <si>
    <t xml:space="preserve">Moksha Triangle (karkataka, Vrischika, Meena) shows to what extent a person can achieve liberation. </t>
  </si>
  <si>
    <t>Sathvik Guna : Religious, happy, work without expecting anything in return, sacrifice, healthy</t>
  </si>
  <si>
    <t>Rajasika Guna : Materialistic, desires, lust, proud</t>
  </si>
  <si>
    <t>Tamasika Guna : Carelessness, Laziness, Anger, Dull headed</t>
  </si>
  <si>
    <t>Dhatu : means non living objects like metals, mineral objects</t>
  </si>
  <si>
    <t>Moola : means living objects which have life but no movement like trees</t>
  </si>
  <si>
    <t>Jeeva : means living beings like Human beings and animals</t>
  </si>
  <si>
    <t>This classification is mainly used for remedial purposes and also in Prashna for identification of query</t>
  </si>
  <si>
    <t>This Classification is used to find out of gender of siblings , children, etc.</t>
  </si>
  <si>
    <t>Odd Rashis or Male Rashis : masculine , energetic ,aggressive</t>
  </si>
  <si>
    <t>Even Rashis or Female Rashis : Feminine , submissive, passive</t>
  </si>
  <si>
    <t>Mesha agni is a Forest fire. It is a wild fire which spreads rapidly.</t>
  </si>
  <si>
    <t>Simha Agni is a kitchen fire used for cooking of food and thus used for a productive purpose</t>
  </si>
  <si>
    <t>Dhanur Agni is fire of Homa ,havan , lamps , etc for spiritual awakening</t>
  </si>
  <si>
    <t>Karkataka Jala is pure water like Ganga river water . It nourishes the Jeeva.</t>
  </si>
  <si>
    <t>Vrischika Jala is polluted water or deep waters</t>
  </si>
  <si>
    <t>Meena Jala is Ocean water</t>
  </si>
  <si>
    <t xml:space="preserve">Vrishabha Rashi indicates agricultural land where bull ( symbol of rashi ) is used for tilling the land </t>
  </si>
  <si>
    <t>Kanya Rashi indicates garden where flowers are grown. Kanya rashi symbol is young lady who loves flowers</t>
  </si>
  <si>
    <t>Makara Rashi is a marshy land and its symbol is Crocodile</t>
  </si>
  <si>
    <t>Vayu means air , and air has no boundaries ( expansion ) therefore Vayu tatwa rashis indicate Intelligence</t>
  </si>
  <si>
    <t>Mithuna Rashi is a Vayu tatwa rashi . In Mithuna rashi intelligence is used in communication . To impress the opposite gender ( symbol is a Male and Female ).</t>
  </si>
  <si>
    <t>Tula Rashi is a Vayu tatwa rashi , here intelligence is used in business ( symbol is Balance )</t>
  </si>
  <si>
    <t>Kumbha Rashi is also a Vayu tatwa rashi. Here intelligence is used in creativity</t>
  </si>
  <si>
    <t>Example of analysing Vrishabha Rashi</t>
  </si>
  <si>
    <t>Vrishabha = Sthira + Prithvi tatwa</t>
  </si>
  <si>
    <t>Vrishabha Rashi is both a Sthira Rashi and Prithvi tatwa Rashi. So the common qualities of Sthira Rashi and Prithvi tatwa rashi will be predominant in Vrishabha like being stubborn , hard working , practical.</t>
  </si>
  <si>
    <t>Among all the 4 Sthira Rashis , Vrishabha is the strongest Sthira.</t>
  </si>
  <si>
    <t>Barren &amp; Fruitful signs - To know about marriage and children</t>
  </si>
  <si>
    <t>Jala Tatwa Rashis are fertile and fruitful</t>
  </si>
  <si>
    <t>Signs powerful during Night are called Nocturnal</t>
  </si>
  <si>
    <t>Signs powerful during Day are called Diurnal</t>
  </si>
  <si>
    <t>This classification is used to know the success of a Prashna</t>
  </si>
  <si>
    <t>0 to 15 deg of any Rashi is first half and 15 to 30 deg is second half</t>
  </si>
  <si>
    <t>Vanachara is high in heirarchy, then comes Dwipada</t>
  </si>
  <si>
    <t>After dwipada comes, ( jalachara, keeta, chatuspada ) all these 3 are equal</t>
  </si>
  <si>
    <t>Used in Medical astrology for knowing the body constitution of a person and the diseases caused by imbalance in Vatta or Pitta or Kapha elements</t>
  </si>
  <si>
    <t>Vatha = Airy/Windy</t>
  </si>
  <si>
    <t>Pitha - Bilious</t>
  </si>
  <si>
    <t>Kapha - Phlegmatic</t>
  </si>
  <si>
    <t>This classification indicates the lucky colours of each Rashi</t>
  </si>
  <si>
    <t xml:space="preserve">Places indicated by each Rashi - This classification is used in prashna and also to know where each rashi person will be comfortable. </t>
  </si>
  <si>
    <t>12 Jyotirlingas and their Locations</t>
  </si>
  <si>
    <t>1. Somnath Prabhasapattan, near Veraval, Saurashtra, Gujarat</t>
  </si>
  <si>
    <t>2. Mallikarjun Shrishailya, Andhra Pradesh</t>
  </si>
  <si>
    <t>3. Mahanakal Ujjain, Madhya Pradesh</t>
  </si>
  <si>
    <t>4. Omkar / Amaleshwar Omkar, Mandhata, Madhya Pradesh</t>
  </si>
  <si>
    <t>5. Kedarnath Himalayas</t>
  </si>
  <si>
    <t>6. Bhimashankar Dakini region, Taluka Khed, District Pune, Maharashtra</t>
  </si>
  <si>
    <t>7. Vishveshwar Varanasi, Uttar Pradesh</t>
  </si>
  <si>
    <t>8. Tryambakeshwar Near Nashik, Maharashtra</t>
  </si>
  <si>
    <t>9. Vaidyanath (Vaijanath) Parli, District Beed, Maharashtra</t>
  </si>
  <si>
    <t>10. Nagesh (Nagnath) (Note 2) Darukavan, Oundh, District Hingoli, Maharashtra</t>
  </si>
  <si>
    <t>11. Rameshwaram Setubandh, near Kanyakumari, Tamilnadu</t>
  </si>
  <si>
    <t>12. Ghrushneshwar (Ghrushnesh) Verul, District Aurangabad, Maharashtra</t>
  </si>
  <si>
    <t>If your Moon sign shows your mind, then Janma Lagna shows you as a person</t>
  </si>
  <si>
    <t>* Your physical body</t>
  </si>
  <si>
    <t>* Your personality</t>
  </si>
  <si>
    <t>*How people see you</t>
  </si>
  <si>
    <t>*Your natural approach to life</t>
  </si>
  <si>
    <t>it is like the "starting point" of your entire horoscope</t>
  </si>
  <si>
    <t>The sign ( rashi ) rising in the eastern horizon at the time of your</t>
  </si>
  <si>
    <t>birth is called Janma Lagna</t>
  </si>
  <si>
    <t>The duration of each lagna is 2 hours approximately.</t>
  </si>
  <si>
    <t>In a day there are 24 hrs . In the zodiac there are 12 Rashis (12</t>
  </si>
  <si>
    <t>lagnas) . So all the 12 Lagnas will be covered in a day.</t>
  </si>
  <si>
    <t>The duration or span of each Lagna is :</t>
  </si>
  <si>
    <t>24 hrs = 2 hours per lagna</t>
  </si>
  <si>
    <t>12 Rashis</t>
  </si>
  <si>
    <t>LAGNA</t>
  </si>
  <si>
    <t>Janma Lagna indicates the physical charachteristics of a person</t>
  </si>
  <si>
    <t>while Janma Rashi indicates the mentality of the person</t>
  </si>
  <si>
    <t>Exhalted</t>
  </si>
  <si>
    <t>Debilitated</t>
  </si>
  <si>
    <t>TITHI CALCULATOR (Live)</t>
  </si>
  <si>
    <t>Tithi number</t>
  </si>
  <si>
    <t>Tithi name</t>
  </si>
  <si>
    <t>Sun–Moon angular distance</t>
  </si>
  <si>
    <t>Concept</t>
  </si>
  <si>
    <t>A tithi is formed every 12° of angular separation between Moon and Sun (Moon ahead of Sun). 30 tithis per lunar month — 15 Shukla (waxing, 0°–180°) + 15 Krishna (waning, 180°–360°). Amavasya = Moon within 12° behind Sun. Pournima = Moon 168°–180° ahead of Sun.</t>
  </si>
  <si>
    <t>Pratipada</t>
  </si>
  <si>
    <t>0° to 12°</t>
  </si>
  <si>
    <t>Dwitiya</t>
  </si>
  <si>
    <t>12° to 24°</t>
  </si>
  <si>
    <t>Sun longitude (° in zodiac)</t>
  </si>
  <si>
    <t>Tritiya</t>
  </si>
  <si>
    <t>24° to 36°</t>
  </si>
  <si>
    <t>Moon longitude (° in zodiac)</t>
  </si>
  <si>
    <t>Chaturthi</t>
  </si>
  <si>
    <t>36° to 48°</t>
  </si>
  <si>
    <t>Moon − Sun separation (0°–360°)</t>
  </si>
  <si>
    <t>Panchami</t>
  </si>
  <si>
    <t>48° to 60°</t>
  </si>
  <si>
    <t>Tithi Number (1–30)</t>
  </si>
  <si>
    <t>Shashthi</t>
  </si>
  <si>
    <t>60° to 72°</t>
  </si>
  <si>
    <t>Tithi Name</t>
  </si>
  <si>
    <t>Saptami</t>
  </si>
  <si>
    <t>72° to 84°</t>
  </si>
  <si>
    <t>Paksha</t>
  </si>
  <si>
    <t>Ashtami</t>
  </si>
  <si>
    <t>84° to 96°</t>
  </si>
  <si>
    <t>Moon Strength Window</t>
  </si>
  <si>
    <t>Navami</t>
  </si>
  <si>
    <t>96° to 108°</t>
  </si>
  <si>
    <t>Dashami</t>
  </si>
  <si>
    <t>108° to 120°</t>
  </si>
  <si>
    <t>Ekadashi</t>
  </si>
  <si>
    <t>120° to 132°</t>
  </si>
  <si>
    <t>Dwadashi</t>
  </si>
  <si>
    <t>132° to 144°</t>
  </si>
  <si>
    <t>Trayodashi</t>
  </si>
  <si>
    <t>144° to 156°</t>
  </si>
  <si>
    <t>Chaturdashi</t>
  </si>
  <si>
    <t>156° to 168°</t>
  </si>
  <si>
    <t>Purnima / Amavasya</t>
  </si>
  <si>
    <t>168° to 180°</t>
  </si>
  <si>
    <t>180° to 192°</t>
  </si>
  <si>
    <t>192° to 204°</t>
  </si>
  <si>
    <t>204° to 216°</t>
  </si>
  <si>
    <t>216° to 228°</t>
  </si>
  <si>
    <t>228° to 240°</t>
  </si>
  <si>
    <t>240° to 252°</t>
  </si>
  <si>
    <t>252° to 264°</t>
  </si>
  <si>
    <t>264° to 276°</t>
  </si>
  <si>
    <t>276° to 288°</t>
  </si>
  <si>
    <t>288° to 300°</t>
  </si>
  <si>
    <t>300° to 312°</t>
  </si>
  <si>
    <t>312° to 324°</t>
  </si>
  <si>
    <t>324° to 336°</t>
  </si>
  <si>
    <t>336° to 348°</t>
  </si>
  <si>
    <t>348° to 360°</t>
  </si>
  <si>
    <t xml:space="preserve">A tithi is the lunar day in the Hindu calendar, defined by the angular separation between the Sun and the Moon; each tithi spans 12 degrees of that separation, and there are 30 tithis in a lunar month, split into Shukla Paksha and Krishna Paksha. For Thursday, 21 May 2026, the tithi is Shukla Paksha Panchami.
Tithi meaning
The 30 tithis are grouped as 15 waxing tithis and 15 waning tithis, with names such as Pratipada, Dwitiya, Tritiya, Chaturthi, Panchami, and so on up to Purnima or Amavasya depending on the phase. A tithi can begin or end at any time of day because it follows the Moon’s movement rather than the civil clock, so the tithi at sunrise is usually used for the day’s Panchang reading.
Sun and Moon distance
If you mean the physical distance, the average distance from Earth to the Sun is about 149.6 million kilometers (1 AU), and the average distance from Earth to the Moon is about 384,400 kilometers. The Sun is therefore roughly 400 times farther from Earth than the Moon.
How tithi is determined
A tithi is not measured in kilometers but in angular distance. When the Moon is 12 degrees ahead of the Sun, the first tithi begins; each additional 12 degrees advances the tithi by one step. For example, when the Moon is 12 to 24 degrees from the Sun, it is Dwitiya; when it is 48 to 60 degrees away, it is Panchami.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</si>
</sst>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h:mm"/>
    <numFmt numFmtId="166" formatCode="0.00\°"/>
  </numFmts>
  <fonts count="20" x14ac:knownFonts="1">
    <font>
      <sz val="11"/>
      <color theme="1"/>
      <name val="Aptos Narrow"/>
      <family val="2"/>
      <charset val="1"/>
    </font>
    <font>
      <b/>
      <sz val="16"/>
      <color rgb="FF1B4F72"/>
      <name val="Aptos Narrow"/>
      <family val="2"/>
      <charset val="1"/>
    </font>
    <font>
      <b/>
      <sz val="13"/>
      <color rgb="FFFFFFFF"/>
      <name val="Aptos Narrow"/>
      <family val="2"/>
      <charset val="1"/>
    </font>
    <font>
      <b/>
      <sz val="11"/>
      <color theme="1"/>
      <name val="Aptos Narrow"/>
      <family val="2"/>
      <charset val="1"/>
    </font>
    <font>
      <sz val="11"/>
      <color rgb="FF0000FF"/>
      <name val="Aptos Narrow"/>
      <family val="2"/>
      <charset val="1"/>
    </font>
    <font>
      <b/>
      <sz val="11"/>
      <color rgb="FF000000"/>
      <name val="Aptos Narrow"/>
      <family val="2"/>
      <charset val="1"/>
    </font>
    <font>
      <sz val="11"/>
      <color rgb="FF000000"/>
      <name val="Aptos Narrow"/>
      <family val="2"/>
      <charset val="1"/>
    </font>
    <font>
      <b/>
      <sz val="11"/>
      <color rgb="FF566573"/>
      <name val="Aptos Narrow"/>
      <family val="2"/>
      <charset val="1"/>
    </font>
    <font>
      <sz val="11"/>
      <color rgb="FF566573"/>
      <name val="Aptos Narrow"/>
      <family val="2"/>
      <charset val="1"/>
    </font>
    <font>
      <i/>
      <sz val="11"/>
      <color theme="1"/>
      <name val="Aptos Narrow"/>
      <family val="2"/>
      <charset val="1"/>
    </font>
    <font>
      <b/>
      <sz val="11"/>
      <color rgb="FFFFFFFF"/>
      <name val="Aptos Narrow"/>
      <family val="2"/>
      <charset val="1"/>
    </font>
    <font>
      <sz val="11"/>
      <color rgb="FF006100"/>
      <name val="Aptos Narrow"/>
      <family val="2"/>
      <charset val="1"/>
    </font>
    <font>
      <sz val="11"/>
      <color rgb="FF9C0006"/>
      <name val="Aptos Narrow"/>
      <family val="2"/>
      <charset val="1"/>
    </font>
    <font>
      <b/>
      <sz val="12"/>
      <color theme="1"/>
      <name val="Aptos Narrow"/>
      <family val="2"/>
      <charset val="1"/>
    </font>
    <font>
      <b/>
      <sz val="14"/>
      <color theme="1"/>
      <name val="Aptos Narrow"/>
      <family val="2"/>
      <charset val="1"/>
    </font>
    <font>
      <i/>
      <sz val="11"/>
      <color rgb="FF666666"/>
      <name val="Aptos Narrow"/>
      <family val="2"/>
      <charset val="1"/>
    </font>
    <font>
      <b/>
      <sz val="12"/>
      <color rgb="FFFFFFFF"/>
      <name val="Aptos Narrow"/>
      <family val="2"/>
      <charset val="1"/>
    </font>
    <font>
      <b/>
      <i/>
      <sz val="11"/>
      <color theme="1"/>
      <name val="Aptos Narrow"/>
      <family val="2"/>
      <charset val="1"/>
    </font>
    <font>
      <b/>
      <sz val="11"/>
      <color theme="1"/>
      <name val="Arial"/>
      <family val="2"/>
      <charset val="1"/>
    </font>
    <font>
      <sz val="11"/>
      <color theme="1"/>
      <name val="Arial"/>
      <family val="2"/>
      <charset val="1"/>
    </font>
  </fonts>
  <fills count="20">
    <fill>
      <patternFill patternType="none"/>
    </fill>
    <fill>
      <patternFill patternType="gray125"/>
    </fill>
    <fill>
      <patternFill patternType="solid">
        <fgColor rgb="FFD4E6F1"/>
        <bgColor rgb="FFD9E1F2"/>
      </patternFill>
    </fill>
    <fill>
      <patternFill patternType="solid">
        <fgColor rgb="FF2C3E50"/>
        <bgColor rgb="FF1F4E78"/>
      </patternFill>
    </fill>
    <fill>
      <patternFill patternType="solid">
        <fgColor rgb="FFEBF5FB"/>
        <bgColor rgb="FFF2F4F4"/>
      </patternFill>
    </fill>
    <fill>
      <patternFill patternType="solid">
        <fgColor rgb="FFFFFDE7"/>
        <bgColor rgb="FFFFFFFF"/>
      </patternFill>
    </fill>
    <fill>
      <patternFill patternType="solid">
        <fgColor rgb="FFD5D8DC"/>
        <bgColor rgb="FFDDDDDD"/>
      </patternFill>
    </fill>
    <fill>
      <patternFill patternType="solid">
        <fgColor rgb="FFFFFFFF"/>
        <bgColor rgb="FFFFFDE7"/>
      </patternFill>
    </fill>
    <fill>
      <patternFill patternType="solid">
        <fgColor rgb="FFFFF9C4"/>
        <bgColor rgb="FFFFFDE7"/>
      </patternFill>
    </fill>
    <fill>
      <patternFill patternType="solid">
        <fgColor rgb="FFE8DAEF"/>
        <bgColor rgb="FFDDDDDD"/>
      </patternFill>
    </fill>
    <fill>
      <patternFill patternType="solid">
        <fgColor rgb="FF1A5276"/>
        <bgColor rgb="FF1B4F72"/>
      </patternFill>
    </fill>
    <fill>
      <patternFill patternType="solid">
        <fgColor rgb="FF1F4E78"/>
        <bgColor rgb="FF1B4F72"/>
      </patternFill>
    </fill>
    <fill>
      <patternFill patternType="solid">
        <fgColor rgb="FFF4B084"/>
        <bgColor rgb="FFFFC7CE"/>
      </patternFill>
    </fill>
    <fill>
      <patternFill patternType="solid">
        <fgColor rgb="FFE2EFDA"/>
        <bgColor rgb="FFF2F2F2"/>
      </patternFill>
    </fill>
    <fill>
      <patternFill patternType="solid">
        <fgColor rgb="FFFFE699"/>
        <bgColor rgb="FFFFD966"/>
      </patternFill>
    </fill>
    <fill>
      <patternFill patternType="solid">
        <fgColor rgb="FFF2F4F4"/>
        <bgColor rgb="FFF2F2F2"/>
      </patternFill>
    </fill>
    <fill>
      <patternFill patternType="solid">
        <fgColor rgb="FFD9E1F2"/>
        <bgColor rgb="FFD4E6F1"/>
      </patternFill>
    </fill>
    <fill>
      <patternFill patternType="solid">
        <fgColor rgb="FFFFD966"/>
        <bgColor rgb="FFFFE699"/>
      </patternFill>
    </fill>
    <fill>
      <patternFill patternType="solid">
        <fgColor rgb="FFFCE4D6"/>
        <bgColor rgb="FFF2F2F2"/>
      </patternFill>
    </fill>
    <fill>
      <patternFill patternType="solid">
        <fgColor rgb="FFF2F2F2"/>
        <bgColor rgb="FFF2F4F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rgb="FFBDC3C7"/>
      </bottom>
      <diagonal/>
    </border>
    <border>
      <left style="thin">
        <color auto="1"/>
      </left>
      <right style="thin">
        <color auto="1"/>
      </right>
      <top style="thin">
        <color rgb="FFBDC3C7"/>
      </top>
      <bottom style="thin">
        <color rgb="FFBDC3C7"/>
      </bottom>
      <diagonal/>
    </border>
    <border>
      <left style="thin">
        <color auto="1"/>
      </left>
      <right style="thin">
        <color auto="1"/>
      </right>
      <top style="thin">
        <color rgb="FFBDC3C7"/>
      </top>
      <bottom style="thin">
        <color auto="1"/>
      </bottom>
      <diagonal/>
    </border>
    <border>
      <left style="thin">
        <color auto="1"/>
      </left>
      <right style="thin">
        <color auto="1"/>
      </right>
      <top style="thin">
        <color rgb="FFBDC3C7"/>
      </top>
      <bottom/>
      <diagonal/>
    </border>
    <border>
      <left style="thin">
        <color auto="1"/>
      </left>
      <right/>
      <top/>
      <bottom/>
      <diagonal/>
    </border>
    <border>
      <left style="thin">
        <color auto="1"/>
      </left>
      <right/>
      <top style="thin">
        <color rgb="FFBDC3C7"/>
      </top>
      <bottom/>
      <diagonal/>
    </border>
    <border>
      <left style="thin">
        <color auto="1"/>
      </left>
      <right style="thin">
        <color auto="1"/>
      </right>
      <top/>
      <bottom/>
      <diagonal/>
    </border>
    <border>
      <left/>
      <right/>
      <top style="thin">
        <color auto="1"/>
      </top>
      <bottom/>
      <diagonal/>
    </border>
    <border>
      <left/>
      <right style="thin">
        <color auto="1"/>
      </right>
      <top/>
      <bottom style="thin">
        <color rgb="FFD5D8DC"/>
      </bottom>
      <diagonal/>
    </border>
    <border>
      <left/>
      <right style="thin">
        <color auto="1"/>
      </right>
      <top style="thin">
        <color rgb="FFD5D8DC"/>
      </top>
      <bottom style="thin">
        <color rgb="FFD5D8DC"/>
      </bottom>
      <diagonal/>
    </border>
    <border>
      <left style="thin">
        <color auto="1"/>
      </left>
      <right/>
      <top style="thin">
        <color rgb="FFD5D8DC"/>
      </top>
      <bottom style="thin">
        <color rgb="FFD5D8DC"/>
      </bottom>
      <diagonal/>
    </border>
    <border>
      <left/>
      <right style="thin">
        <color auto="1"/>
      </right>
      <top style="thin">
        <color rgb="FFD5D8DC"/>
      </top>
      <bottom/>
      <diagonal/>
    </border>
    <border>
      <left style="thin">
        <color auto="1"/>
      </left>
      <right/>
      <top style="thin">
        <color rgb="FFD5D8DC"/>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99">
    <xf numFmtId="0" fontId="0" fillId="0" borderId="0" xfId="0"/>
    <xf numFmtId="0" fontId="16" fillId="10" borderId="14" xfId="0" applyFont="1" applyFill="1" applyBorder="1"/>
    <xf numFmtId="0" fontId="16" fillId="10" borderId="13" xfId="0" applyFont="1" applyFill="1" applyBorder="1"/>
    <xf numFmtId="0" fontId="1" fillId="2" borderId="0" xfId="0" applyFont="1" applyFill="1"/>
    <xf numFmtId="0" fontId="2" fillId="10" borderId="0" xfId="0" applyFont="1" applyFill="1" applyAlignment="1">
      <alignment horizontal="left"/>
    </xf>
    <xf numFmtId="0" fontId="9" fillId="4" borderId="0" xfId="0" applyFont="1" applyFill="1" applyAlignment="1">
      <alignment horizontal="center"/>
    </xf>
    <xf numFmtId="0" fontId="2" fillId="3" borderId="0" xfId="0" applyFont="1" applyFill="1" applyAlignment="1">
      <alignment horizontal="center"/>
    </xf>
    <xf numFmtId="0" fontId="1" fillId="2" borderId="0" xfId="0" applyFont="1" applyFill="1" applyAlignment="1">
      <alignment horizontal="center"/>
    </xf>
    <xf numFmtId="0" fontId="3" fillId="4" borderId="1" xfId="0" applyFont="1" applyFill="1" applyBorder="1"/>
    <xf numFmtId="0" fontId="4" fillId="5" borderId="1" xfId="0" applyFont="1" applyFill="1" applyBorder="1"/>
    <xf numFmtId="164" fontId="4" fillId="5" borderId="1" xfId="0" applyNumberFormat="1" applyFont="1" applyFill="1" applyBorder="1"/>
    <xf numFmtId="165" fontId="4" fillId="5" borderId="1" xfId="0" applyNumberFormat="1" applyFont="1" applyFill="1" applyBorder="1"/>
    <xf numFmtId="0" fontId="5" fillId="6" borderId="2" xfId="0" applyFont="1" applyFill="1" applyBorder="1" applyAlignment="1">
      <alignment horizontal="center"/>
    </xf>
    <xf numFmtId="0" fontId="5" fillId="6" borderId="0" xfId="0" applyFont="1" applyFill="1" applyAlignment="1">
      <alignment horizontal="center"/>
    </xf>
    <xf numFmtId="0" fontId="3" fillId="4" borderId="3" xfId="0" applyFont="1" applyFill="1" applyBorder="1"/>
    <xf numFmtId="0" fontId="4" fillId="5" borderId="3" xfId="0" applyFont="1" applyFill="1" applyBorder="1" applyAlignment="1">
      <alignment horizontal="center"/>
    </xf>
    <xf numFmtId="0" fontId="6" fillId="7" borderId="4" xfId="0" applyFont="1" applyFill="1" applyBorder="1" applyAlignment="1">
      <alignment horizontal="center"/>
    </xf>
    <xf numFmtId="0" fontId="6" fillId="7" borderId="3" xfId="0" applyFont="1" applyFill="1" applyBorder="1" applyAlignment="1">
      <alignment horizontal="center"/>
    </xf>
    <xf numFmtId="0" fontId="4" fillId="5" borderId="4" xfId="0" applyFont="1" applyFill="1" applyBorder="1" applyAlignment="1">
      <alignment horizontal="center"/>
    </xf>
    <xf numFmtId="0" fontId="6" fillId="7" borderId="2" xfId="0" applyFont="1" applyFill="1" applyBorder="1" applyAlignment="1">
      <alignment horizontal="center"/>
    </xf>
    <xf numFmtId="0" fontId="3" fillId="8" borderId="3" xfId="0" applyFont="1" applyFill="1" applyBorder="1"/>
    <xf numFmtId="0" fontId="4" fillId="5" borderId="2" xfId="0" applyFont="1" applyFill="1" applyBorder="1" applyAlignment="1">
      <alignment horizontal="center"/>
    </xf>
    <xf numFmtId="0" fontId="6" fillId="7" borderId="1" xfId="0" applyFont="1" applyFill="1" applyBorder="1" applyAlignment="1">
      <alignment horizontal="center"/>
    </xf>
    <xf numFmtId="0" fontId="3" fillId="9" borderId="3" xfId="0" applyFont="1" applyFill="1" applyBorder="1"/>
    <xf numFmtId="0" fontId="3" fillId="9" borderId="4" xfId="0" applyFont="1" applyFill="1" applyBorder="1"/>
    <xf numFmtId="0" fontId="4" fillId="5" borderId="1" xfId="0" applyFont="1" applyFill="1" applyBorder="1" applyAlignment="1">
      <alignment horizontal="center"/>
    </xf>
    <xf numFmtId="0" fontId="7" fillId="7" borderId="0" xfId="0" applyFont="1" applyFill="1"/>
    <xf numFmtId="0" fontId="8" fillId="7" borderId="0" xfId="0" applyFont="1" applyFill="1"/>
    <xf numFmtId="0" fontId="3" fillId="6" borderId="5" xfId="0" applyFont="1" applyFill="1" applyBorder="1"/>
    <xf numFmtId="0" fontId="3" fillId="0" borderId="6" xfId="0" applyFont="1" applyBorder="1"/>
    <xf numFmtId="0" fontId="0" fillId="0" borderId="6" xfId="0" applyBorder="1"/>
    <xf numFmtId="0" fontId="0" fillId="0" borderId="6" xfId="0" applyBorder="1" applyAlignment="1">
      <alignment wrapText="1"/>
    </xf>
    <xf numFmtId="0" fontId="3" fillId="0" borderId="7" xfId="0" applyFont="1" applyBorder="1"/>
    <xf numFmtId="0" fontId="0" fillId="0" borderId="7" xfId="0" applyBorder="1" applyAlignment="1">
      <alignment wrapText="1"/>
    </xf>
    <xf numFmtId="0" fontId="0" fillId="0" borderId="0" xfId="0" applyAlignment="1">
      <alignment wrapText="1"/>
    </xf>
    <xf numFmtId="0" fontId="3" fillId="6" borderId="5" xfId="0" applyFont="1" applyFill="1" applyBorder="1" applyAlignment="1">
      <alignment wrapText="1"/>
    </xf>
    <xf numFmtId="0" fontId="3" fillId="0" borderId="8" xfId="0" applyFont="1" applyBorder="1"/>
    <xf numFmtId="0" fontId="0" fillId="0" borderId="8" xfId="0" applyBorder="1"/>
    <xf numFmtId="0" fontId="0" fillId="0" borderId="8" xfId="0" applyBorder="1" applyAlignment="1">
      <alignment wrapText="1"/>
    </xf>
    <xf numFmtId="0" fontId="3" fillId="7" borderId="3" xfId="0" applyFont="1" applyFill="1" applyBorder="1"/>
    <xf numFmtId="0" fontId="0" fillId="7" borderId="3" xfId="0" applyFill="1" applyBorder="1"/>
    <xf numFmtId="0" fontId="0" fillId="7" borderId="3" xfId="0" applyFill="1" applyBorder="1" applyAlignment="1">
      <alignment wrapText="1"/>
    </xf>
    <xf numFmtId="0" fontId="0" fillId="7" borderId="9" xfId="0" applyFill="1" applyBorder="1" applyAlignment="1">
      <alignment wrapText="1"/>
    </xf>
    <xf numFmtId="0" fontId="0" fillId="7" borderId="2" xfId="0" applyFill="1" applyBorder="1"/>
    <xf numFmtId="0" fontId="0" fillId="7" borderId="0" xfId="0" applyFill="1" applyAlignment="1">
      <alignment wrapText="1"/>
    </xf>
    <xf numFmtId="0" fontId="0" fillId="7" borderId="5" xfId="0" applyFill="1" applyBorder="1"/>
    <xf numFmtId="0" fontId="3" fillId="7" borderId="10" xfId="0" applyFont="1" applyFill="1" applyBorder="1"/>
    <xf numFmtId="0" fontId="0" fillId="7" borderId="11" xfId="0" applyFill="1" applyBorder="1"/>
    <xf numFmtId="0" fontId="3" fillId="7" borderId="12" xfId="0" applyFont="1" applyFill="1" applyBorder="1"/>
    <xf numFmtId="0" fontId="0" fillId="7" borderId="12" xfId="0" applyFill="1" applyBorder="1"/>
    <xf numFmtId="0" fontId="0" fillId="7" borderId="12" xfId="0" applyFill="1" applyBorder="1" applyAlignment="1">
      <alignment wrapText="1"/>
    </xf>
    <xf numFmtId="0" fontId="3" fillId="6" borderId="1" xfId="0" applyFont="1" applyFill="1" applyBorder="1" applyAlignment="1">
      <alignment horizontal="center"/>
    </xf>
    <xf numFmtId="0" fontId="3" fillId="6" borderId="1" xfId="0" applyFont="1" applyFill="1" applyBorder="1" applyAlignment="1">
      <alignment horizontal="center" wrapText="1"/>
    </xf>
    <xf numFmtId="0" fontId="3" fillId="8" borderId="1" xfId="0" applyFont="1" applyFill="1" applyBorder="1"/>
    <xf numFmtId="0" fontId="0" fillId="0" borderId="1" xfId="0" applyBorder="1"/>
    <xf numFmtId="0" fontId="0" fillId="0" borderId="1" xfId="0" applyBorder="1" applyAlignment="1">
      <alignment wrapText="1"/>
    </xf>
    <xf numFmtId="0" fontId="3" fillId="9" borderId="1" xfId="0" applyFont="1" applyFill="1" applyBorder="1"/>
    <xf numFmtId="0" fontId="0" fillId="0" borderId="7" xfId="0" applyBorder="1"/>
    <xf numFmtId="0" fontId="3" fillId="6" borderId="0" xfId="0" applyFont="1" applyFill="1"/>
    <xf numFmtId="0" fontId="3" fillId="6" borderId="0" xfId="0" applyFont="1" applyFill="1" applyAlignment="1">
      <alignment wrapText="1"/>
    </xf>
    <xf numFmtId="0" fontId="3" fillId="0" borderId="0" xfId="0" applyFont="1"/>
    <xf numFmtId="0" fontId="10" fillId="11" borderId="0" xfId="0" applyFont="1" applyFill="1"/>
    <xf numFmtId="0" fontId="3" fillId="12" borderId="0" xfId="0" applyFont="1" applyFill="1"/>
    <xf numFmtId="0" fontId="3" fillId="13" borderId="0" xfId="0" applyFont="1" applyFill="1"/>
    <xf numFmtId="0" fontId="3" fillId="14" borderId="0" xfId="0" applyFont="1" applyFill="1"/>
    <xf numFmtId="0" fontId="10" fillId="3" borderId="1" xfId="0" applyFont="1" applyFill="1" applyBorder="1" applyAlignment="1">
      <alignment horizontal="center"/>
    </xf>
    <xf numFmtId="0" fontId="0" fillId="15" borderId="1" xfId="0" applyFill="1" applyBorder="1"/>
    <xf numFmtId="0" fontId="0" fillId="15" borderId="1" xfId="0" applyFill="1" applyBorder="1" applyAlignment="1">
      <alignment wrapText="1"/>
    </xf>
    <xf numFmtId="0" fontId="10" fillId="16" borderId="11" xfId="0" applyFont="1" applyFill="1" applyBorder="1" applyAlignment="1">
      <alignment horizontal="center"/>
    </xf>
    <xf numFmtId="0" fontId="11" fillId="0" borderId="1" xfId="0" applyFont="1" applyBorder="1"/>
    <xf numFmtId="0" fontId="12" fillId="0" borderId="1" xfId="0" applyFont="1" applyBorder="1"/>
    <xf numFmtId="0" fontId="0" fillId="0" borderId="11" xfId="0" applyBorder="1"/>
    <xf numFmtId="0" fontId="13" fillId="17" borderId="0" xfId="0" applyFont="1" applyFill="1"/>
    <xf numFmtId="0" fontId="3" fillId="16" borderId="0" xfId="0" applyFont="1" applyFill="1"/>
    <xf numFmtId="9" fontId="0" fillId="0" borderId="0" xfId="0" applyNumberFormat="1"/>
    <xf numFmtId="0" fontId="9" fillId="0" borderId="0" xfId="0" applyFont="1"/>
    <xf numFmtId="0" fontId="14" fillId="17" borderId="0" xfId="0" applyFont="1" applyFill="1"/>
    <xf numFmtId="0" fontId="15" fillId="0" borderId="0" xfId="0" applyFont="1"/>
    <xf numFmtId="0" fontId="10" fillId="11" borderId="0" xfId="0" applyFont="1" applyFill="1" applyAlignment="1">
      <alignment vertical="center" wrapText="1"/>
    </xf>
    <xf numFmtId="0" fontId="10" fillId="11" borderId="0" xfId="0" applyFont="1" applyFill="1" applyAlignment="1">
      <alignment horizontal="center" vertical="center" wrapText="1"/>
    </xf>
    <xf numFmtId="0" fontId="3" fillId="12" borderId="0" xfId="0" applyFont="1" applyFill="1" applyAlignment="1">
      <alignment wrapText="1"/>
    </xf>
    <xf numFmtId="0" fontId="3" fillId="0" borderId="0" xfId="0" applyFont="1" applyAlignment="1">
      <alignment wrapText="1"/>
    </xf>
    <xf numFmtId="0" fontId="3" fillId="16" borderId="0" xfId="0" applyFont="1" applyFill="1" applyAlignment="1">
      <alignment wrapText="1"/>
    </xf>
    <xf numFmtId="0" fontId="3" fillId="13" borderId="0" xfId="0" applyFont="1" applyFill="1" applyAlignment="1">
      <alignment wrapText="1"/>
    </xf>
    <xf numFmtId="0" fontId="3" fillId="18" borderId="0" xfId="0" applyFont="1" applyFill="1" applyAlignment="1">
      <alignment wrapText="1"/>
    </xf>
    <xf numFmtId="0" fontId="3" fillId="18" borderId="0" xfId="0" applyFont="1" applyFill="1"/>
    <xf numFmtId="0" fontId="0" fillId="14" borderId="0" xfId="0" applyFill="1"/>
    <xf numFmtId="0" fontId="3" fillId="0" borderId="14" xfId="0" applyFont="1" applyBorder="1"/>
    <xf numFmtId="0" fontId="0" fillId="0" borderId="15" xfId="0" applyBorder="1" applyAlignment="1">
      <alignment wrapText="1"/>
    </xf>
    <xf numFmtId="0" fontId="3" fillId="0" borderId="16" xfId="0" applyFont="1" applyBorder="1"/>
    <xf numFmtId="0" fontId="0" fillId="0" borderId="17" xfId="0" applyBorder="1" applyAlignment="1">
      <alignment wrapText="1"/>
    </xf>
    <xf numFmtId="0" fontId="14" fillId="17" borderId="0" xfId="0" applyFont="1" applyFill="1" applyAlignment="1">
      <alignment horizontal="left"/>
    </xf>
    <xf numFmtId="0" fontId="13" fillId="12" borderId="0" xfId="0" applyFont="1" applyFill="1"/>
    <xf numFmtId="0" fontId="17" fillId="0" borderId="0" xfId="0" applyFont="1"/>
    <xf numFmtId="0" fontId="13" fillId="16" borderId="0" xfId="0" applyFont="1" applyFill="1"/>
    <xf numFmtId="0" fontId="18" fillId="19" borderId="18" xfId="0" applyFont="1" applyFill="1" applyBorder="1" applyAlignment="1">
      <alignment horizontal="left" vertical="center" wrapText="1"/>
    </xf>
    <xf numFmtId="0" fontId="18" fillId="19" borderId="0" xfId="0" applyFont="1" applyFill="1" applyAlignment="1">
      <alignment horizontal="left" vertical="center" wrapText="1"/>
    </xf>
    <xf numFmtId="0" fontId="19" fillId="0" borderId="18" xfId="0" applyFont="1" applyBorder="1" applyAlignment="1">
      <alignment horizontal="left" vertical="center" wrapText="1"/>
    </xf>
    <xf numFmtId="166" fontId="0" fillId="0" borderId="0" xfId="0" applyNumberFormat="1"/>
  </cellXfs>
  <cellStyles count="1">
    <cellStyle name="Normal" xfId="0" builtinId="0"/>
  </cellStyles>
  <dxfs count="3">
    <dxf>
      <font>
        <color rgb="FF003399"/>
      </font>
      <fill>
        <patternFill>
          <bgColor rgb="FFB4C6E7"/>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CE4D6"/>
      <rgbColor rgb="FFFF00FF"/>
      <rgbColor rgb="FF00FFFF"/>
      <rgbColor rgb="FF9C0006"/>
      <rgbColor rgb="FF006100"/>
      <rgbColor rgb="FF000080"/>
      <rgbColor rgb="FF808000"/>
      <rgbColor rgb="FF800080"/>
      <rgbColor rgb="FF1B4F72"/>
      <rgbColor rgb="FFBDC3C7"/>
      <rgbColor rgb="FF666666"/>
      <rgbColor rgb="FFDDDDDD"/>
      <rgbColor rgb="FF993366"/>
      <rgbColor rgb="FFFFF9C4"/>
      <rgbColor rgb="FFEBF5FB"/>
      <rgbColor rgb="FF660066"/>
      <rgbColor rgb="FFF2F2F2"/>
      <rgbColor rgb="FF1A5276"/>
      <rgbColor rgb="FFD5D8DC"/>
      <rgbColor rgb="FF000080"/>
      <rgbColor rgb="FFFF00FF"/>
      <rgbColor rgb="FFE2EFDA"/>
      <rgbColor rgb="FF00FFFF"/>
      <rgbColor rgb="FF800080"/>
      <rgbColor rgb="FF800000"/>
      <rgbColor rgb="FF008080"/>
      <rgbColor rgb="FF0000FF"/>
      <rgbColor rgb="FF00CCFF"/>
      <rgbColor rgb="FFD4E6F1"/>
      <rgbColor rgb="FFC6EFCE"/>
      <rgbColor rgb="FFFFE699"/>
      <rgbColor rgb="FFB4C6E7"/>
      <rgbColor rgb="FFF4B084"/>
      <rgbColor rgb="FFE8DAEF"/>
      <rgbColor rgb="FFFFC7CE"/>
      <rgbColor rgb="FF3366FF"/>
      <rgbColor rgb="FF33CCCC"/>
      <rgbColor rgb="FFF2F4F4"/>
      <rgbColor rgb="FFFFD966"/>
      <rgbColor rgb="FFFFFDE7"/>
      <rgbColor rgb="FFFF6600"/>
      <rgbColor rgb="FF566573"/>
      <rgbColor rgb="FFD9E1F2"/>
      <rgbColor rgb="FF003399"/>
      <rgbColor rgb="FF339966"/>
      <rgbColor rgb="FF003300"/>
      <rgbColor rgb="FF333300"/>
      <rgbColor rgb="FF993300"/>
      <rgbColor rgb="FF993366"/>
      <rgbColor rgb="FF1F4E78"/>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zoomScaleNormal="100" workbookViewId="0">
      <selection activeCell="E6" sqref="E6"/>
    </sheetView>
  </sheetViews>
  <sheetFormatPr defaultColWidth="8.5703125" defaultRowHeight="15" x14ac:dyDescent="0.25"/>
  <cols>
    <col min="1" max="1" width="29.5703125" customWidth="1"/>
    <col min="2" max="2" width="32.42578125" customWidth="1"/>
    <col min="3" max="4" width="12.42578125" customWidth="1"/>
    <col min="5" max="6" width="16.140625" customWidth="1"/>
    <col min="7" max="7" width="22.85546875" customWidth="1"/>
  </cols>
  <sheetData>
    <row r="1" spans="1:7" ht="21" customHeight="1" x14ac:dyDescent="0.35">
      <c r="A1" s="7" t="s">
        <v>0</v>
      </c>
      <c r="B1" s="7"/>
      <c r="C1" s="7"/>
      <c r="D1" s="7"/>
      <c r="E1" s="7"/>
      <c r="F1" s="7"/>
      <c r="G1" s="7"/>
    </row>
    <row r="3" spans="1:7" ht="17.25" customHeight="1" x14ac:dyDescent="0.3">
      <c r="A3" s="6" t="s">
        <v>1</v>
      </c>
      <c r="B3" s="6"/>
      <c r="C3" s="6"/>
      <c r="D3" s="6"/>
    </row>
    <row r="4" spans="1:7" ht="15" customHeight="1" x14ac:dyDescent="0.25">
      <c r="A4" s="8" t="s">
        <v>2</v>
      </c>
      <c r="B4" s="9" t="s">
        <v>3</v>
      </c>
    </row>
    <row r="5" spans="1:7" ht="15" customHeight="1" x14ac:dyDescent="0.25">
      <c r="A5" s="8" t="s">
        <v>4</v>
      </c>
      <c r="B5" s="10">
        <v>34926</v>
      </c>
    </row>
    <row r="6" spans="1:7" ht="15" customHeight="1" x14ac:dyDescent="0.25">
      <c r="A6" s="8" t="s">
        <v>5</v>
      </c>
      <c r="B6" s="11">
        <v>0.40625</v>
      </c>
    </row>
    <row r="7" spans="1:7" ht="15" customHeight="1" x14ac:dyDescent="0.25">
      <c r="A7" s="8" t="s">
        <v>6</v>
      </c>
      <c r="B7" s="9" t="s">
        <v>7</v>
      </c>
    </row>
    <row r="8" spans="1:7" ht="15" customHeight="1" x14ac:dyDescent="0.25">
      <c r="A8" s="8" t="s">
        <v>8</v>
      </c>
      <c r="B8" s="9" t="s">
        <v>9</v>
      </c>
    </row>
    <row r="10" spans="1:7" ht="17.25" customHeight="1" x14ac:dyDescent="0.3">
      <c r="A10" s="6" t="s">
        <v>10</v>
      </c>
      <c r="B10" s="6"/>
      <c r="C10" s="6"/>
      <c r="D10" s="6"/>
      <c r="E10" s="6"/>
      <c r="F10" s="6"/>
      <c r="G10" s="6"/>
    </row>
    <row r="11" spans="1:7" ht="15" customHeight="1" x14ac:dyDescent="0.25">
      <c r="A11" s="12" t="s">
        <v>11</v>
      </c>
      <c r="B11" s="13" t="s">
        <v>12</v>
      </c>
      <c r="C11" s="13" t="s">
        <v>13</v>
      </c>
      <c r="D11" s="13" t="s">
        <v>14</v>
      </c>
      <c r="E11" s="13" t="s">
        <v>15</v>
      </c>
      <c r="F11" s="13" t="s">
        <v>16</v>
      </c>
      <c r="G11" s="13" t="s">
        <v>17</v>
      </c>
    </row>
    <row r="12" spans="1:7" ht="15" customHeight="1" x14ac:dyDescent="0.25">
      <c r="A12" s="14" t="s">
        <v>18</v>
      </c>
      <c r="B12" s="15" t="s">
        <v>19</v>
      </c>
      <c r="C12" s="16">
        <f>IF(B12="","",MATCH(LEFT(B12,FIND(" - ",B12)-1),'Reference Data'!B$2:B$13,0))</f>
        <v>5</v>
      </c>
      <c r="D12" s="17">
        <f>IF(C12="","",1)</f>
        <v>1</v>
      </c>
      <c r="E12" s="18">
        <v>11.15</v>
      </c>
      <c r="F12" s="18"/>
      <c r="G12" s="19" t="str">
        <f>IF(B12="","","—")</f>
        <v>—</v>
      </c>
    </row>
    <row r="13" spans="1:7" ht="15" customHeight="1" x14ac:dyDescent="0.25">
      <c r="A13" s="20" t="s">
        <v>20</v>
      </c>
      <c r="B13" s="21" t="s">
        <v>21</v>
      </c>
      <c r="C13" s="16">
        <f>IF(B13="","",MATCH(LEFT(B13,FIND(" - ",B13)-1),'Reference Data'!B$2:B$13,0))</f>
        <v>1</v>
      </c>
      <c r="D13" s="19">
        <f t="shared" ref="D13:D21" si="0">IF(C13="","",MOD(C13-$C$12,12)+1)</f>
        <v>9</v>
      </c>
      <c r="E13" s="18">
        <v>11.48</v>
      </c>
      <c r="F13" s="18"/>
      <c r="G13" s="19" t="str">
        <f t="array" ref="G13">IF(B13="","",IF(AND(C13=1,ROUND(E13,0)=10),"⭐ Deep Exalted (10° Mesha)",IF(AND(C13=5,E13&gt;=0,E13&lt;=20),"🌿 Moola Trikona",IF(AND(C13=5,E13&gt;20,E13&lt;=30),"🏠 Own House (Simha)",IF(AND(C13=7,ROUND(E13,0)=10),"💔 Deep Debilitated (10° Tula)",IF(ISNUMBER(SEARCH("Sun",INDEX('Planet Dignity'!$E$2:$E$13,C13))),"⬆ Exalted",IF(ISNUMBER(SEARCH("Sun",INDEX('Planet Dignity'!$F$2:$F$13,C13))),"⬇ Debilitated",IF(INDEX('Planet Dignity'!$C$2:$C$13,C13)="Sun","🏠 Own House","—"))))))))</f>
        <v>⬆ Exalted</v>
      </c>
    </row>
    <row r="14" spans="1:7" ht="15" customHeight="1" x14ac:dyDescent="0.25">
      <c r="A14" s="20" t="s">
        <v>22</v>
      </c>
      <c r="B14" s="21" t="s">
        <v>23</v>
      </c>
      <c r="C14" s="22">
        <f>IF(B14="","",MATCH(LEFT(B14,FIND(" - ",B14)-1),'Reference Data'!B$2:B$13,0))</f>
        <v>12</v>
      </c>
      <c r="D14" s="19">
        <f t="shared" si="0"/>
        <v>8</v>
      </c>
      <c r="E14" s="18">
        <v>16.559999999999999</v>
      </c>
      <c r="F14" s="18"/>
      <c r="G14" s="19" t="str">
        <f t="array" ref="G14">IF(B14="","",IF(AND(C14=2,ROUND(E14,0)=3),"⭐ Deep Exalted (3° Vrishabha)",IF(AND(C14=2,E14&gt;3,E14&lt;=30),"🌿 Moola Trikona",IF(AND(C14=8,ROUND(E14,0)=3),"💔 Deep Debilitated (3° Vrischika)",IF(ISNUMBER(SEARCH("Moon",INDEX('Planet Dignity'!$E$2:$E$13,C14))),"⬆ Exalted",IF(ISNUMBER(SEARCH("Moon",INDEX('Planet Dignity'!$F$2:$F$13,C14))),"⬇ Debilitated",IF(INDEX('Planet Dignity'!$C$2:$C$13,C14)="Moon","🏠 Own House","—")))))))</f>
        <v>—</v>
      </c>
    </row>
    <row r="15" spans="1:7" ht="15" customHeight="1" x14ac:dyDescent="0.25">
      <c r="A15" s="20" t="s">
        <v>24</v>
      </c>
      <c r="B15" s="21" t="s">
        <v>21</v>
      </c>
      <c r="C15" s="22">
        <f>IF(B15="","",MATCH(LEFT(B15,FIND(" - ",B15)-1),'Reference Data'!B$2:B$13,0))</f>
        <v>1</v>
      </c>
      <c r="D15" s="19">
        <f t="shared" si="0"/>
        <v>9</v>
      </c>
      <c r="E15" s="18">
        <v>27.13</v>
      </c>
      <c r="F15" s="18"/>
      <c r="G15" s="19" t="str">
        <f t="array" ref="G15">IF(B15="","",IF(AND(C15=10,ROUND(E15,0)=28),"⭐ Deep Exalted (28° Makara)",IF(AND(C15=1,E15&gt;=0,E15&lt;=12),"🌿 Moola Trikona",IF(AND(C15=1,E15&gt;12,E15&lt;=30),"🏠 Own House (Mesha)",IF(C15=8,"🏠 Own House (Vrischika)",IF(AND(C15=4,ROUND(E15,0)=28),"💔 Deep Debilitated (28° Karkataka)",IF(ISNUMBER(SEARCH("Mars",INDEX('Planet Dignity'!$E$2:$E$13,C15))),"⬆ Exalted",IF(ISNUMBER(SEARCH("Mars",INDEX('Planet Dignity'!$F$2:$F$13,C15))),"⬇ Debilitated","—"))))))))</f>
        <v>🏠 Own House (Mesha)</v>
      </c>
    </row>
    <row r="16" spans="1:7" ht="15" customHeight="1" x14ac:dyDescent="0.25">
      <c r="A16" s="20" t="s">
        <v>25</v>
      </c>
      <c r="B16" s="21" t="s">
        <v>21</v>
      </c>
      <c r="C16" s="22">
        <f>IF(B16="","",MATCH(LEFT(B16,FIND(" - ",B16)-1),'Reference Data'!B$2:B$13,0))</f>
        <v>1</v>
      </c>
      <c r="D16" s="19">
        <f t="shared" si="0"/>
        <v>9</v>
      </c>
      <c r="E16" s="18">
        <v>12.18</v>
      </c>
      <c r="F16" s="18"/>
      <c r="G16" s="19" t="str">
        <f t="array" ref="G16">IF(B16="","",IF(AND(C16=6,ROUND(E16,0)=15),"⭐ Deep Exalted (15° Kanya)",IF(AND(C16=6,E16&gt;=0,E16&lt;15),"⬆ Exalted (0°–15° Kanya)",IF(AND(C16=6,E16&gt;15,E16&lt;=20),"🌿 Moola Trikona",IF(AND(C16=6,E16&gt;20,E16&lt;=30),"🏠 Own House (Kanya)",IF(C16=3,"🏠 Own House (Mithuna)",IF(AND(C16=12,ROUND(E16,0)=15),"💔 Deep Debilitated (15° Meena)",IF(ISNUMBER(SEARCH("Mercury",INDEX('Planet Dignity'!$E$2:$E$13,C16))),"⬆ Exalted",IF(ISNUMBER(SEARCH("Mercury",INDEX('Planet Dignity'!$F$2:$F$13,C16))),"⬇ Debilitated","—")))))))))</f>
        <v>—</v>
      </c>
    </row>
    <row r="17" spans="1:7" ht="15" customHeight="1" x14ac:dyDescent="0.25">
      <c r="A17" s="20" t="s">
        <v>26</v>
      </c>
      <c r="B17" s="21" t="s">
        <v>19</v>
      </c>
      <c r="C17" s="22">
        <f>IF(B17="","",MATCH(LEFT(B17,FIND(" - ",B17)-1),'Reference Data'!B$2:B$13,0))</f>
        <v>5</v>
      </c>
      <c r="D17" s="19">
        <f t="shared" si="0"/>
        <v>1</v>
      </c>
      <c r="E17" s="18">
        <v>2.2599999999999998</v>
      </c>
      <c r="F17" s="18"/>
      <c r="G17" s="19" t="str">
        <f t="array" ref="G17">IF(B17="","",IF(AND(C17=4,ROUND(E17,0)=5),"⭐ Deep Exalted (5° Karkataka)",IF(AND(C17=9,E17&gt;=0,E17&lt;=10),"🌿 Moola Trikona",IF(AND(C17=9,E17&gt;10,E17&lt;=30),"🏠 Own House (Dhanus)",IF(C17=12,"🏠 Own House (Meena)",IF(AND(C17=10,ROUND(E17,0)=5),"💔 Deep Debilitated (5° Makara)",IF(ISNUMBER(SEARCH("Jupiter",INDEX('Planet Dignity'!$E$2:$E$13,C17))),"⬆ Exalted",IF(ISNUMBER(SEARCH("Jupiter",INDEX('Planet Dignity'!$F$2:$F$13,C17))),"⬇ Debilitated","—"))))))))</f>
        <v>—</v>
      </c>
    </row>
    <row r="18" spans="1:7" ht="15" customHeight="1" x14ac:dyDescent="0.25">
      <c r="A18" s="20" t="s">
        <v>27</v>
      </c>
      <c r="B18" s="21" t="s">
        <v>23</v>
      </c>
      <c r="C18" s="22">
        <f>IF(B18="","",MATCH(LEFT(B18,FIND(" - ",B18)-1),'Reference Data'!B$2:B$13,0))</f>
        <v>12</v>
      </c>
      <c r="D18" s="19">
        <f t="shared" si="0"/>
        <v>8</v>
      </c>
      <c r="E18" s="18">
        <v>26.51</v>
      </c>
      <c r="F18" s="18"/>
      <c r="G18" s="19" t="str">
        <f t="array" ref="G18">IF(B18="","",IF(AND(C18=12,ROUND(E18,0)=27),"⭐ Deep Exalted (27° Meena)",IF(AND(C18=7,E18&gt;=0,E18&lt;=15),"🌿 Moola Trikona",IF(AND(C18=7,E18&gt;15,E18&lt;=30),"🏠 Own House (Tula)",IF(C18=2,"🏠 Own House (Vrishabha)",IF(AND(C18=6,ROUND(E18,0)=27),"💔 Deep Debilitated (27° Kanya)",IF(ISNUMBER(SEARCH("Venus",INDEX('Planet Dignity'!$E$2:$E$13,C18))),"⬆ Exalted",IF(ISNUMBER(SEARCH("Venus",INDEX('Planet Dignity'!$F$2:$F$13,C18))),"⬇ Debilitated","—"))))))))</f>
        <v>⭐ Deep Exalted (27° Meena)</v>
      </c>
    </row>
    <row r="19" spans="1:7" ht="15" customHeight="1" x14ac:dyDescent="0.25">
      <c r="A19" s="20" t="s">
        <v>28</v>
      </c>
      <c r="B19" s="21" t="s">
        <v>23</v>
      </c>
      <c r="C19" s="22">
        <f>IF(B19="","",MATCH(LEFT(B19,FIND(" - ",B19)-1),'Reference Data'!B$2:B$13,0))</f>
        <v>12</v>
      </c>
      <c r="D19" s="19">
        <f t="shared" si="0"/>
        <v>8</v>
      </c>
      <c r="E19" s="18">
        <v>24.29</v>
      </c>
      <c r="F19" s="18"/>
      <c r="G19" s="19" t="str">
        <f t="array" ref="G19">IF(B19="","",IF(AND(C19=7,ROUND(E19,0)=20),"⭐ Deep Exalted (20° Tula)",IF(AND(C19=11,E19&gt;=0,E19&lt;=20),"🌿 Moola Trikona",IF(AND(C19=11,E19&gt;20,E19&lt;=30),"🏠 Own House (Kumbha)",IF(C19=10,"🏠 Own House (Makara)",IF(AND(C19=1,ROUND(E19,0)=20),"💔 Deep Debilitated (20° Mesha)",IF(ISNUMBER(SEARCH("Saturn",INDEX('Planet Dignity'!$E$2:$E$13,C19))),"⬆ Exalted",IF(ISNUMBER(SEARCH("Saturn",INDEX('Planet Dignity'!$F$2:$F$13,C19))),"⬇ Debilitated","—"))))))))</f>
        <v>—</v>
      </c>
    </row>
    <row r="20" spans="1:7" ht="15" customHeight="1" x14ac:dyDescent="0.25">
      <c r="A20" s="23" t="s">
        <v>29</v>
      </c>
      <c r="B20" s="21" t="s">
        <v>23</v>
      </c>
      <c r="C20" s="22">
        <f>IF(B20="","",MATCH(LEFT(B20,FIND(" - ",B20)-1),'Reference Data'!B$2:B$13,0))</f>
        <v>12</v>
      </c>
      <c r="D20" s="19">
        <f t="shared" si="0"/>
        <v>8</v>
      </c>
      <c r="E20" s="18">
        <v>24.28</v>
      </c>
      <c r="F20" s="18"/>
      <c r="G20" s="19" t="str">
        <f t="array" ref="G20">IF(B20="","",IF(ISNUMBER(SEARCH("Rahu",INDEX('Planet Dignity'!$E$2:$E$13,C20))),"⬆ Exalted",IF(ISNUMBER(SEARCH("Rahu",INDEX('Planet Dignity'!$F$2:$F$13,C20))),"⬇ Debilitated","—")))</f>
        <v>—</v>
      </c>
    </row>
    <row r="21" spans="1:7" ht="15" customHeight="1" x14ac:dyDescent="0.25">
      <c r="A21" s="24" t="s">
        <v>30</v>
      </c>
      <c r="B21" s="25" t="s">
        <v>31</v>
      </c>
      <c r="C21" s="22">
        <f>IF(B21="","",MATCH(LEFT(B21,FIND(" - ",B21)-1),'Reference Data'!B$2:B$13,0))</f>
        <v>6</v>
      </c>
      <c r="D21" s="19">
        <f t="shared" si="0"/>
        <v>2</v>
      </c>
      <c r="E21" s="18">
        <v>24.28</v>
      </c>
      <c r="F21" s="18"/>
      <c r="G21" s="22" t="str">
        <f t="array" ref="G21">IF(B21="","",IF(ISNUMBER(SEARCH("Ketu",INDEX('Planet Dignity'!$E$2:$E$13,C21))),"⬆ Exalted",IF(ISNUMBER(SEARCH("Ketu",INDEX('Planet Dignity'!$F$2:$F$13,C21))),"⬇ Debilitated","—")))</f>
        <v>—</v>
      </c>
    </row>
    <row r="23" spans="1:7" ht="15" customHeight="1" x14ac:dyDescent="0.25">
      <c r="A23" s="26" t="s">
        <v>32</v>
      </c>
    </row>
    <row r="24" spans="1:7" ht="15" customHeight="1" x14ac:dyDescent="0.25">
      <c r="A24" s="27" t="s">
        <v>33</v>
      </c>
    </row>
    <row r="25" spans="1:7" ht="15" customHeight="1" x14ac:dyDescent="0.25">
      <c r="A25" s="27" t="s">
        <v>34</v>
      </c>
    </row>
    <row r="26" spans="1:7" ht="15" customHeight="1" x14ac:dyDescent="0.25">
      <c r="A26" s="27" t="s">
        <v>35</v>
      </c>
    </row>
    <row r="27" spans="1:7" ht="15" customHeight="1" x14ac:dyDescent="0.25">
      <c r="A27" s="27" t="s">
        <v>36</v>
      </c>
    </row>
    <row r="28" spans="1:7" ht="15" customHeight="1" x14ac:dyDescent="0.25">
      <c r="A28" s="27" t="s">
        <v>37</v>
      </c>
    </row>
  </sheetData>
  <mergeCells count="3">
    <mergeCell ref="A1:G1"/>
    <mergeCell ref="A3:D3"/>
    <mergeCell ref="A10:G10"/>
  </mergeCells>
  <dataValidations count="3">
    <dataValidation type="list" allowBlank="1" showInputMessage="1" showErrorMessage="1" sqref="F13:F21" xr:uid="{00000000-0002-0000-0000-000000000000}">
      <formula1>"Yes,No"</formula1>
      <formula2>0</formula2>
    </dataValidation>
    <dataValidation type="list" allowBlank="1" showInputMessage="1" showErrorMessage="1" sqref="B8" xr:uid="{00000000-0002-0000-0000-000001000000}">
      <formula1>"Male,Female"</formula1>
      <formula2>0</formula2>
    </dataValidation>
    <dataValidation type="list" allowBlank="1" showInputMessage="1" showErrorMessage="1" sqref="B12:B21" xr:uid="{00000000-0002-0000-0000-000002000000}">
      <formula1>"Mesha - Aries,Vrishaba - Taurus,Mithuna - Gemini,Karkataka - Cancer,Simha - Leo,Kanya - Virgo,Tula - Libra,Vrischika - Scorpio,Dhanur - Sagittarius,Makara - Capricorn,Kumbha - Aquarius,Meena - Pisces"</formula1>
      <formula2>0</formula2>
    </dataValidation>
  </dataValidation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4"/>
  <sheetViews>
    <sheetView topLeftCell="A10" zoomScaleNormal="100" workbookViewId="0">
      <selection activeCell="B49" sqref="B49"/>
    </sheetView>
  </sheetViews>
  <sheetFormatPr defaultColWidth="8.5703125" defaultRowHeight="15" x14ac:dyDescent="0.25"/>
  <cols>
    <col min="1" max="1" width="38.140625" customWidth="1"/>
    <col min="2" max="2" width="41.85546875" customWidth="1"/>
    <col min="3" max="3" width="84" customWidth="1"/>
    <col min="4" max="4" width="24.7109375" customWidth="1"/>
    <col min="5" max="5" width="19" customWidth="1"/>
    <col min="6" max="6" width="66.7109375" customWidth="1"/>
  </cols>
  <sheetData>
    <row r="1" spans="1:6" ht="21" customHeight="1" x14ac:dyDescent="0.35">
      <c r="A1" s="7" t="s">
        <v>38</v>
      </c>
      <c r="B1" s="7"/>
      <c r="C1" s="7"/>
      <c r="D1" s="7"/>
      <c r="E1" s="7"/>
      <c r="F1" s="7"/>
    </row>
    <row r="2" spans="1:6" ht="15" customHeight="1" x14ac:dyDescent="0.25">
      <c r="A2" s="5" t="str">
        <f>IF(Input!B4="","","Name: "&amp;Input!B4&amp;"  |  DOB: "&amp;TEXT(Input!B5,"dd-mmm-yyyy")&amp;"  |  Time: "&amp;TEXT(Input!B6,"hh:mm AM/PM")&amp;"  |  Place: "&amp;Input!B7)</f>
        <v>Name: Aarav Sharma  |  DOB: 15-Aug-1995  |  Time: 09:45 AM  |  Place: Mumbai</v>
      </c>
      <c r="B2" s="5"/>
      <c r="C2" s="5"/>
      <c r="D2" s="5"/>
      <c r="E2" s="5"/>
      <c r="F2" s="5"/>
    </row>
    <row r="4" spans="1:6" ht="17.25" customHeight="1" x14ac:dyDescent="0.3">
      <c r="A4" s="4" t="s">
        <v>39</v>
      </c>
      <c r="B4" s="4"/>
      <c r="C4" s="4"/>
      <c r="D4" s="4"/>
      <c r="E4" s="4"/>
      <c r="F4" s="4"/>
    </row>
    <row r="5" spans="1:6" ht="15" customHeight="1" x14ac:dyDescent="0.25">
      <c r="A5" s="28" t="s">
        <v>40</v>
      </c>
      <c r="B5" s="28" t="s">
        <v>41</v>
      </c>
      <c r="C5" s="28" t="s">
        <v>42</v>
      </c>
    </row>
    <row r="6" spans="1:6" ht="30" customHeight="1" x14ac:dyDescent="0.25">
      <c r="A6" s="29" t="s">
        <v>43</v>
      </c>
      <c r="B6" s="30" t="str">
        <f>IF(Input!B12="","",LEFT(Input!B12,FIND(" - ",Input!B12)-1)&amp;" ("&amp;MID(Input!B12,FIND(" - ",Input!B12)+3,100)&amp;")")</f>
        <v>Simha (Leo)</v>
      </c>
      <c r="C6" s="31" t="s">
        <v>44</v>
      </c>
    </row>
    <row r="7" spans="1:6" ht="45" customHeight="1" x14ac:dyDescent="0.25">
      <c r="A7" s="29" t="s">
        <v>45</v>
      </c>
      <c r="B7" s="30" t="str">
        <f t="array" ref="B7">IF(Input!C12="","",INDEX('Reference Data'!D$2:D$13,Input!C12))</f>
        <v>Odd (Male)</v>
      </c>
      <c r="C7" s="31" t="s">
        <v>46</v>
      </c>
    </row>
    <row r="8" spans="1:6" ht="30" customHeight="1" x14ac:dyDescent="0.25">
      <c r="A8" s="29" t="s">
        <v>47</v>
      </c>
      <c r="B8" s="30" t="str">
        <f t="array" ref="B8">IF(Input!C12="","",INDEX('Reference Data'!E$2:E$13,Input!C12))</f>
        <v>Sthira</v>
      </c>
      <c r="C8" s="31" t="str">
        <f>IF(B8="","",IF(B8="Chara","Moveable personality: Appears flexible, dynamic, always on the move. Others see you as an achiever.",IF(B8="Sthira","Fixed personality: Appears rigid, determined, stubborn. Others see you as firm and reliable.","Dual personality: Appears adaptable, cautious. Others see you as calculative and flexible.")))</f>
        <v>Fixed personality: Appears rigid, determined, stubborn. Others see you as firm and reliable.</v>
      </c>
    </row>
    <row r="9" spans="1:6" ht="30" customHeight="1" x14ac:dyDescent="0.25">
      <c r="A9" s="29" t="s">
        <v>48</v>
      </c>
      <c r="B9" s="30" t="str">
        <f t="array" ref="B9">IF(Input!C12="","",INDEX('Reference Data'!F$2:F$13,Input!C12))</f>
        <v>Agni</v>
      </c>
      <c r="C9" s="31" t="str">
        <f>IF(B9="","",IF(B9="Agni","Fire personality: Appears energetic, commanding, assertive. Others see you as a leader and doer.",IF(B9="Vayu","Air personality: Appears intellectual, balanced, creative. Others see you as a thinker.",IF(B9="Prithvi","Earth personality: Appears stable, practical, grounded. Others see you as reliable and hardworking.","Water personality: Appears emotional, compassionate, caring. Others see you as sensitive."))))</f>
        <v>Fire personality: Appears energetic, commanding, assertive. Others see you as a leader and doer.</v>
      </c>
    </row>
    <row r="10" spans="1:6" ht="30" customHeight="1" x14ac:dyDescent="0.25">
      <c r="A10" s="29" t="s">
        <v>49</v>
      </c>
      <c r="B10" s="30" t="str">
        <f t="array" ref="B10">IF(Input!C12="","",INDEX('Reference Data'!G$2:G$13,Input!C12))</f>
        <v>East</v>
      </c>
      <c r="C10" s="31" t="s">
        <v>50</v>
      </c>
    </row>
    <row r="11" spans="1:6" ht="30" customHeight="1" x14ac:dyDescent="0.25">
      <c r="A11" s="29" t="s">
        <v>51</v>
      </c>
      <c r="B11" s="30" t="str">
        <f t="array" ref="B11">IF(Input!C12="","",INDEX('Reference Data'!H$2:H$13,Input!C12))</f>
        <v>Kshatriya</v>
      </c>
      <c r="C11" s="31" t="s">
        <v>52</v>
      </c>
    </row>
    <row r="12" spans="1:6" ht="30" customHeight="1" x14ac:dyDescent="0.25">
      <c r="A12" s="29" t="s">
        <v>53</v>
      </c>
      <c r="B12" s="30" t="str">
        <f t="array" ref="B12">IF(Input!C12="","",INDEX('Reference Data'!I$2:I$13,Input!C12))</f>
        <v>Dharma</v>
      </c>
      <c r="C12" s="31" t="str">
        <f>IF(B12="","",IF(B12="Dharma","Dharma Triangle: Outer life oriented towards religion, duty, and righteous actions.",IF(B12="Artha","Artha Triangle: Outer life oriented towards earning, wealth, and material achievement.",IF(B12="Kama","Kama Triangle: Outer life oriented towards desires and their fulfillment.","Moksha Triangle: Outer life oriented towards spiritual liberation and detachment."))))</f>
        <v>Dharma Triangle: Outer life oriented towards religion, duty, and righteous actions.</v>
      </c>
    </row>
    <row r="13" spans="1:6" ht="15" customHeight="1" x14ac:dyDescent="0.25">
      <c r="A13" s="29" t="s">
        <v>54</v>
      </c>
      <c r="B13" s="30" t="str">
        <f t="array" ref="B13">IF(Input!C12="","",INDEX('Reference Data'!J$2:J$13,Input!C12))</f>
        <v>Sathvik</v>
      </c>
      <c r="C13" s="31" t="str">
        <f>IF(B13="","",IF(B13="Sathvik","Sathvik personality: Appears religious, happy, selfless, healthy to others.",IF(B13="Rajasika","Rajasika personality: Appears materialistic, ambitious, proud to others.","Tamasika personality: Appears careless, lazy, dull to others.")))</f>
        <v>Sathvik personality: Appears religious, happy, selfless, healthy to others.</v>
      </c>
    </row>
    <row r="14" spans="1:6" ht="15" customHeight="1" x14ac:dyDescent="0.25">
      <c r="A14" s="29" t="s">
        <v>55</v>
      </c>
      <c r="B14" s="30" t="str">
        <f t="array" ref="B14">IF(Input!C12="","",INDEX('Reference Data'!K$2:K$13,Input!C12))</f>
        <v>Moola</v>
      </c>
      <c r="C14" s="31" t="str">
        <f>IF(B14="","",IF(B14="Dhatu","Dhatu: Physical constitution linked to non-living substances (metals, minerals).",IF(B14="Moola","Moola: Physical constitution linked to plant kingdom (rooted, growing).","Jeeva: Physical constitution linked to living beings (animate, active).")))</f>
        <v>Moola: Physical constitution linked to plant kingdom (rooted, growing).</v>
      </c>
    </row>
    <row r="15" spans="1:6" ht="30" customHeight="1" x14ac:dyDescent="0.25">
      <c r="A15" s="29" t="s">
        <v>56</v>
      </c>
      <c r="B15" s="30" t="str">
        <f t="array" ref="B15">IF(Input!C12="","",INDEX('Reference Data'!L$2:L$13,Input!C12))</f>
        <v>Barren</v>
      </c>
      <c r="C15" s="31" t="s">
        <v>57</v>
      </c>
    </row>
    <row r="16" spans="1:6" ht="30" customHeight="1" x14ac:dyDescent="0.25">
      <c r="A16" s="29" t="s">
        <v>58</v>
      </c>
      <c r="B16" s="30" t="str">
        <f t="array" ref="B16">IF(Input!C12="","",INDEX('Reference Data'!M$2:M$13,Input!C12))</f>
        <v>Diurnal</v>
      </c>
      <c r="C16" s="31" t="s">
        <v>59</v>
      </c>
    </row>
    <row r="17" spans="1:6" ht="30" customHeight="1" x14ac:dyDescent="0.25">
      <c r="A17" s="29" t="s">
        <v>60</v>
      </c>
      <c r="B17" s="30" t="str">
        <f t="array" ref="B17">IF(Input!C12="","",INDEX('Reference Data'!N$2:N$13,Input!C12))</f>
        <v>Shirsodaya</v>
      </c>
      <c r="C17" s="31" t="s">
        <v>61</v>
      </c>
    </row>
    <row r="18" spans="1:6" ht="30" customHeight="1" x14ac:dyDescent="0.25">
      <c r="A18" s="29" t="s">
        <v>62</v>
      </c>
      <c r="B18" s="30" t="str">
        <f t="array" ref="B18">IF(Input!C12="","",INDEX('Reference Data'!P$2:P$13,Input!C12))</f>
        <v>Pitha</v>
      </c>
      <c r="C18" s="31" t="str">
        <f>IF(B18="","",IF(B18="Pitha","Pitha body: Hot physical constitution, strong digestion, prone to inflammation and heat-related ailments.",IF(B18="Vatha","Vatha body: Light physical constitution, prone to joint/nerve issues, dry skin.",IF(B18="Kapha","Kapha body: Heavy physical constitution, calm, prone to congestion and weight gain.","Tridosha body: Balanced physical constitution with all three doshas."))))</f>
        <v>Pitha body: Hot physical constitution, strong digestion, prone to inflammation and heat-related ailments.</v>
      </c>
    </row>
    <row r="19" spans="1:6" ht="30" customHeight="1" x14ac:dyDescent="0.25">
      <c r="A19" s="29" t="s">
        <v>63</v>
      </c>
      <c r="B19" s="30" t="str">
        <f t="array" ref="B19">IF(Input!C12="","",INDEX('Reference Data'!Q$2:Q$13,Input!C12))</f>
        <v>Off white</v>
      </c>
      <c r="C19" s="31" t="s">
        <v>64</v>
      </c>
    </row>
    <row r="20" spans="1:6" ht="15" customHeight="1" x14ac:dyDescent="0.25">
      <c r="A20" s="29" t="s">
        <v>65</v>
      </c>
      <c r="B20" s="30" t="str">
        <f t="array" ref="B20">IF(Input!C12="","",INDEX('Reference Data'!R$2:R$13,Input!C12))</f>
        <v>Mountain</v>
      </c>
      <c r="C20" s="31" t="s">
        <v>66</v>
      </c>
    </row>
    <row r="21" spans="1:6" ht="30" customHeight="1" x14ac:dyDescent="0.25">
      <c r="A21" s="29" t="s">
        <v>67</v>
      </c>
      <c r="B21" s="30" t="str">
        <f t="array" ref="B21">IF(Input!C12="","",INDEX('Reference Data'!S$2:S$13,Input!C12))</f>
        <v>Vaidyanath</v>
      </c>
      <c r="C21" s="31" t="s">
        <v>68</v>
      </c>
    </row>
    <row r="22" spans="1:6" ht="30" customHeight="1" x14ac:dyDescent="0.25">
      <c r="A22" s="29" t="s">
        <v>69</v>
      </c>
      <c r="B22" s="30" t="str">
        <f t="array" ref="B22">IF(Input!C12="","",INDEX('Reference Data'!T$2:T$13,Input!C12))</f>
        <v>Heart, Spine, Upper back, Bones, Eyes (Sun's karaka)</v>
      </c>
      <c r="C22" s="31" t="s">
        <v>70</v>
      </c>
    </row>
    <row r="23" spans="1:6" ht="45" customHeight="1" x14ac:dyDescent="0.25">
      <c r="A23" s="32" t="s">
        <v>71</v>
      </c>
      <c r="B23" s="33" t="str">
        <f t="array" ref="B23">IF(Input!C12="","",INDEX('Reference Data'!U$2:U$13,Input!C12))</f>
        <v>Energetic, Aggressive, Egoistic, Good in administration, Generous, Dominating, Leaders, Self respect</v>
      </c>
      <c r="C23" s="33" t="s">
        <v>72</v>
      </c>
    </row>
    <row r="24" spans="1:6" ht="15" customHeight="1" x14ac:dyDescent="0.25">
      <c r="C24" s="34"/>
    </row>
    <row r="25" spans="1:6" ht="17.25" customHeight="1" x14ac:dyDescent="0.3">
      <c r="A25" s="4" t="s">
        <v>73</v>
      </c>
      <c r="B25" s="4"/>
      <c r="C25" s="4"/>
      <c r="D25" s="4"/>
      <c r="E25" s="4"/>
      <c r="F25" s="4"/>
    </row>
    <row r="26" spans="1:6" ht="15" customHeight="1" x14ac:dyDescent="0.25">
      <c r="A26" s="28" t="s">
        <v>40</v>
      </c>
      <c r="B26" s="28" t="s">
        <v>41</v>
      </c>
      <c r="C26" s="35" t="s">
        <v>42</v>
      </c>
    </row>
    <row r="27" spans="1:6" ht="30" customHeight="1" x14ac:dyDescent="0.25">
      <c r="A27" s="29" t="s">
        <v>74</v>
      </c>
      <c r="B27" s="30" t="str">
        <f>IF(Input!B14="","",LEFT(Input!B14,FIND(" - ",Input!B14)-1)&amp;" ("&amp;MID(Input!B14,FIND(" - ",Input!B14)+3,100)&amp;")")</f>
        <v>Meena (Pisces)</v>
      </c>
      <c r="C27" s="31" t="s">
        <v>75</v>
      </c>
    </row>
    <row r="28" spans="1:6" ht="30" customHeight="1" x14ac:dyDescent="0.25">
      <c r="A28" s="29" t="s">
        <v>76</v>
      </c>
      <c r="B28" s="30" t="str">
        <f>IF(Input!C14="","",Input!G14)</f>
        <v>—</v>
      </c>
      <c r="C28" s="31" t="s">
        <v>77</v>
      </c>
    </row>
    <row r="29" spans="1:6" ht="45" customHeight="1" x14ac:dyDescent="0.25">
      <c r="A29" s="29" t="s">
        <v>78</v>
      </c>
      <c r="B29" s="31" t="str">
        <f t="array" ref="B29">IF(Input!C14="","",INDEX('Reference Data'!U$2:U$13,Input!C14))</f>
        <v>Very Moody, Loyal, Loving, Hopeful, Spiritual, Influenced easily, Very emotional, Beautiful, Highly Satvik</v>
      </c>
      <c r="C29" s="31" t="s">
        <v>79</v>
      </c>
    </row>
    <row r="30" spans="1:6" ht="15" customHeight="1" x14ac:dyDescent="0.25">
      <c r="A30" s="29" t="s">
        <v>80</v>
      </c>
      <c r="B30" s="30" t="str">
        <f t="array" ref="B30">IF(Input!C14="","",INDEX('Reference Data'!F$2:F$13,Input!C14))</f>
        <v>Jala</v>
      </c>
      <c r="C30" s="31" t="str">
        <f>IF(B30="","",IF(B30="Agni","Fire mind: Passionate, energetic thinking, quick temper.",IF(B30="Vayu","Air mind: Intellectual, analytical, restless thoughts.",IF(B30="Prithvi","Earth mind: Practical, grounded, steady emotions.","Water mind: Deep emotions, intuitive, empathetic."))))</f>
        <v>Water mind: Deep emotions, intuitive, empathetic.</v>
      </c>
    </row>
    <row r="31" spans="1:6" ht="15" customHeight="1" x14ac:dyDescent="0.25">
      <c r="A31" s="29" t="s">
        <v>81</v>
      </c>
      <c r="B31" s="30" t="str">
        <f t="array" ref="B31">IF(Input!C14="","",INDEX('Reference Data'!J$2:J$13,Input!C14))</f>
        <v>Sathvik</v>
      </c>
      <c r="C31" s="31" t="str">
        <f>IF(B31="","",IF(B31="Sathvik","Sathvik mind: Peaceful, religious, content disposition.",IF(B31="Rajasika","Rajasika mind: Ambitious, desire-driven, restless.","Tamasika mind: Prone to inertia, negativity, confusion.")))</f>
        <v>Sathvik mind: Peaceful, religious, content disposition.</v>
      </c>
    </row>
    <row r="32" spans="1:6" ht="15" customHeight="1" x14ac:dyDescent="0.25">
      <c r="A32" s="29" t="s">
        <v>82</v>
      </c>
      <c r="B32" s="30" t="str">
        <f t="array" ref="B32">IF(Input!C14="","",INDEX('Reference Data'!I$2:I$13,Input!C14))</f>
        <v>Moksha</v>
      </c>
      <c r="C32" s="31" t="str">
        <f>IF(B32="","",IF(B32="Dharma","Mind inclined towards duty, righteousness and moral values.",IF(B32="Artha","Mind focused on wealth accumulation and material security.",IF(B32="Kama","Mind driven by desires, pleasures and fulfillment of wishes.","Mind tends towards spiritual pursuits and liberation."))))</f>
        <v>Mind tends towards spiritual pursuits and liberation.</v>
      </c>
    </row>
    <row r="33" spans="1:3" ht="30" customHeight="1" x14ac:dyDescent="0.25">
      <c r="A33" s="36" t="s">
        <v>83</v>
      </c>
      <c r="B33" s="37" t="str">
        <f t="array" ref="B33">IF(Input!C14="","",INDEX('Reference Data'!P$2:P$13,Input!C14))</f>
        <v>Kapha</v>
      </c>
      <c r="C33" s="38" t="s">
        <v>84</v>
      </c>
    </row>
    <row r="34" spans="1:3" ht="15" customHeight="1" x14ac:dyDescent="0.25">
      <c r="A34" s="39" t="s">
        <v>85</v>
      </c>
      <c r="B34" s="40" t="str">
        <f t="array" ref="B34">IF(Input!C14="","",INDEX('Reference Data'!D$2:D$13,Input!C14))</f>
        <v>Even (Female)</v>
      </c>
      <c r="C34" s="41" t="str">
        <f>IF(B34="","",IF(LEFT(B34,3)="Odd","Odd (Masculine) Moon Rashi: Active, assertive mind. Thinks independently, acts quickly.","Even (Feminine) Moon Rashi: Receptive, nurturing mind. Listens first, empathizes naturally."))</f>
        <v>Even (Feminine) Moon Rashi: Receptive, nurturing mind. Listens first, empathizes naturally.</v>
      </c>
    </row>
    <row r="35" spans="1:3" ht="15" customHeight="1" x14ac:dyDescent="0.25">
      <c r="A35" s="39" t="s">
        <v>86</v>
      </c>
      <c r="B35" s="40" t="str">
        <f t="array" ref="B35">IF(Input!C14="","",INDEX('Reference Data'!E$2:E$13,Input!C14))</f>
        <v>Dwisabhava</v>
      </c>
      <c r="C35" s="42" t="str">
        <f>IF(B35="","",IF(B35="Chara","Moveable Moon: Mind is dynamic, restless, craves change and new experiences.",IF(B35="Sthira","Fixed Moon: Mind is steady, persistent, emotionally rigid, dislikes change.","Dual Moon: Mind oscillates between options, adaptable but sometimes indecisive.")))</f>
        <v>Dual Moon: Mind oscillates between options, adaptable but sometimes indecisive.</v>
      </c>
    </row>
    <row r="36" spans="1:3" ht="30" customHeight="1" x14ac:dyDescent="0.25">
      <c r="A36" s="39" t="s">
        <v>87</v>
      </c>
      <c r="B36" s="40" t="str">
        <f t="array" ref="B36">IF(Input!C14="","",INDEX('Reference Data'!G$2:G$13,Input!C14))</f>
        <v>North</v>
      </c>
      <c r="C36" s="42" t="s">
        <v>88</v>
      </c>
    </row>
    <row r="37" spans="1:3" ht="15" customHeight="1" x14ac:dyDescent="0.25">
      <c r="A37" s="39" t="s">
        <v>89</v>
      </c>
      <c r="B37" s="40" t="str">
        <f t="array" ref="B37">IF(Input!C14="","",INDEX('Reference Data'!H$2:H$13,Input!C14))</f>
        <v>Brahmin</v>
      </c>
      <c r="C37" s="42" t="str">
        <f>IF(B37="","",IF(B37="Brahmin","Brahmin Moon: Mind inclined towards knowledge, teaching, spirituality and learning.",IF(B37="Kshatriya","Kshatriya Moon: Mind inclined towards leadership, courage, protecting others.",IF(B37="Vaishya","Vaishya Moon: Mind inclined towards trade, negotiation, practical thinking.","Shudra Moon: Mind inclined towards service, craftsmanship, humility."))))</f>
        <v>Brahmin Moon: Mind inclined towards knowledge, teaching, spirituality and learning.</v>
      </c>
    </row>
    <row r="38" spans="1:3" ht="15" customHeight="1" x14ac:dyDescent="0.25">
      <c r="A38" s="39" t="s">
        <v>90</v>
      </c>
      <c r="B38" s="40" t="str">
        <f t="array" ref="B38">IF(Input!C14="","",INDEX('Reference Data'!K$2:K$13,Input!C14))</f>
        <v>Jeeva</v>
      </c>
      <c r="C38" s="42" t="str">
        <f>IF(B38="","",IF(B38="Dhatu","Dhatu Moon: Mind attracted to material objects, practical security, tangible outcomes.",IF(B38="Moola","Moola Moon: Mind connected to nature, growth, rooted thinking, organic processes.","Jeeva Moon: Mind oriented towards living beings, relationships, empathy, social bonds.")))</f>
        <v>Jeeva Moon: Mind oriented towards living beings, relationships, empathy, social bonds.</v>
      </c>
    </row>
    <row r="39" spans="1:3" ht="15" customHeight="1" x14ac:dyDescent="0.25">
      <c r="A39" s="39" t="s">
        <v>91</v>
      </c>
      <c r="B39" s="40" t="str">
        <f t="array" ref="B39">IF(Input!C14="","",INDEX('Reference Data'!L$2:L$13,Input!C14))</f>
        <v>Fruitful</v>
      </c>
      <c r="C39" s="42" t="str">
        <f>IF(B39="","",IF(B39="Fruitful","Fruitful Moon: Emotionally abundant, nurturing, good for fertility and creative thinking.",IF(B39="Barren","Barren Moon: Emotionally restrained, may suppress feelings, analytical over emotional.","Semi-fruitful Moon: Moderate emotional expression, balanced between nurturing and restraint.")))</f>
        <v>Fruitful Moon: Emotionally abundant, nurturing, good for fertility and creative thinking.</v>
      </c>
    </row>
    <row r="40" spans="1:3" ht="15" customHeight="1" x14ac:dyDescent="0.25">
      <c r="A40" s="39" t="s">
        <v>92</v>
      </c>
      <c r="B40" s="40" t="str">
        <f t="array" ref="B40">IF(Input!C14="","",INDEX('Reference Data'!M$2:M$13,Input!C14))</f>
        <v>Diurnal</v>
      </c>
      <c r="C40" s="42" t="str">
        <f>IF(B40="","",IF(B40="Nocturnal","Nocturnal Moon: Mind is strongest at night, creative in solitude, introspective, imaginative.","Diurnal Moon: Mind is sharpest during the day, thrives in social settings, action-oriented."))</f>
        <v>Diurnal Moon: Mind is sharpest during the day, thrives in social settings, action-oriented.</v>
      </c>
    </row>
    <row r="41" spans="1:3" ht="15" customHeight="1" x14ac:dyDescent="0.25">
      <c r="A41" s="39" t="s">
        <v>93</v>
      </c>
      <c r="B41" s="40" t="str">
        <f t="array" ref="B41">IF(Input!C14="","",INDEX('Reference Data'!N$2:N$13,Input!C14))</f>
        <v>Ubhadaya</v>
      </c>
      <c r="C41" s="42" t="str">
        <f>IF(B41="","",IF(B41="Shirsodaya","Shirsodaya Moon: Thoughts lead to success, favorable for mental queries and decisions.",IF(B41="Prushtodaya","Prushtodaya Moon: Slow to reveal results, patience needed for mental endeavors.","Ubhayodaya Moon: Mixed rising, results depend on supporting planets.")))</f>
        <v>Ubhayodaya Moon: Mixed rising, results depend on supporting planets.</v>
      </c>
    </row>
    <row r="42" spans="1:3" ht="30" customHeight="1" x14ac:dyDescent="0.25">
      <c r="A42" s="39" t="s">
        <v>94</v>
      </c>
      <c r="B42" s="40" t="str">
        <f t="array" ref="B42">IF(Input!C14="","",INDEX('Reference Data'!Q$2:Q$13,Input!C14))</f>
        <v>White</v>
      </c>
      <c r="C42" s="42" t="s">
        <v>95</v>
      </c>
    </row>
    <row r="43" spans="1:3" ht="30" customHeight="1" x14ac:dyDescent="0.25">
      <c r="A43" s="39" t="s">
        <v>96</v>
      </c>
      <c r="B43" s="40" t="str">
        <f t="array" ref="B43">IF(Input!C14="","",INDEX('Reference Data'!R$2:R$13,Input!C14))</f>
        <v>Ocean</v>
      </c>
      <c r="C43" s="42" t="s">
        <v>97</v>
      </c>
    </row>
    <row r="44" spans="1:3" ht="30" customHeight="1" x14ac:dyDescent="0.25">
      <c r="A44" s="39" t="s">
        <v>98</v>
      </c>
      <c r="B44" s="40" t="str">
        <f t="array" ref="B44">IF(Input!C14="","",INDEX('Reference Data'!S$2:S$13,Input!C14))</f>
        <v>Tryambakeshwar</v>
      </c>
      <c r="C44" s="42" t="s">
        <v>99</v>
      </c>
    </row>
    <row r="45" spans="1:3" ht="30" customHeight="1" x14ac:dyDescent="0.25">
      <c r="A45" s="39" t="s">
        <v>100</v>
      </c>
      <c r="B45" s="40" t="str">
        <f t="array" ref="B45">IF(Input!C14="","",INDEX('Reference Data'!T$2:T$13,Input!C14))</f>
        <v>Feet, Toes, Lymphatic system</v>
      </c>
      <c r="C45" s="42" t="s">
        <v>101</v>
      </c>
    </row>
    <row r="46" spans="1:3" ht="30" customHeight="1" x14ac:dyDescent="0.25">
      <c r="A46" s="39" t="s">
        <v>102</v>
      </c>
      <c r="B46" s="43" t="str">
        <f>IF(Input!C14="","","House "&amp;Input!D14)</f>
        <v>House 8</v>
      </c>
      <c r="C46" s="44" t="str">
        <f>IF(Input!D14="","",CHOOSE(Input!D14,"Moon in 1st House (Lagna): Strong mind, emotional personality, people see your feelings easily. Self-image tied to emotions.","Moon in 2nd House (Dhana): Mind focused on family and wealth. Sweet speech, attachment to possessions.","Moon in 3rd House (Sahaja): Restless mind, creative communication. Brave but mentally scattered.","Moon in 4th House (Sukha): Very emotional, deep attachment to mother and home. Strong intuition.","Moon in 5th House (Putra): Creative, romantic mind. Emotionally invested in children and learning.","Moon in 6th House (Ripu): Mind troubled by enemies, debts, or health. Worry-prone. Serves others but inner anxiety.","Moon in 7th House (Kalatra): Mind focused on partnerships. Emotional dependence on spouse.","Moon in 8th House (Ayu): Deep, secretive mind. Interest in occult, transformation. Emotional upheavals.","Moon in 9th House (Bhagya): Spiritual mind, fortune through intuition. Connected to dharma and father.","Moon in 10th House (Karma): Mind driven by career and public image. Emotional fulfillment through profession.","Moon in 11th House (Labha): Social mind, gains through networks. Satisfied by friendships.","Moon in 12th House (Vyaya): Meditative, isolated mind. Spiritual inclinations. Vivid dreams. Foreign connections."))</f>
        <v>Moon in 8th House (Ayu): Deep, secretive mind. Interest in occult, transformation. Emotional upheavals.</v>
      </c>
    </row>
    <row r="47" spans="1:3" ht="30" customHeight="1" x14ac:dyDescent="0.25">
      <c r="A47" s="39" t="s">
        <v>103</v>
      </c>
      <c r="B47" s="45" t="str">
        <f>IF(Input!D14="","",IF(Input!D14=1,"Kendra + Trikona",IF(OR(Input!D14=4,Input!D14=7,Input!D14=10),"Kendra (Vishnu Sthana)",IF(OR(Input!D14=5,Input!D14=9),"Trikona (Lakshmi Sthana)",IF(OR(Input!D14=6,Input!D14=8,Input!D14=12),"Dusthana (Challenging House)",IF(Input!D14=2,"Maraka Sthana",IF(Input!D14=3,"Upachaya Sthana","Upachaya + Labha Sthana")))))))</f>
        <v>Dusthana (Challenging House)</v>
      </c>
      <c r="C47" s="44" t="str">
        <f>IF(B47="","",IF(B47="Kendra + Trikona","Moon in both Kendra and Trikona - strongest placement. Raja Yoga potential.",IF(LEFT(B47,6)="Kendra","Moon in Kendra - strong and stable mind. Vishnu's blessing gives protection.",IF(LEFT(B47,7)="Trikona","Moon in Trikona - auspicious and fortunate mind. Lakshmi's blessing gives wisdom.",IF(LEFT(B47,8)="Dusthana","Moon in Dusthana - mind faces challenges. Emotional stress or hidden fears. Remedial measures recommended.",IF(B47="Maraka Sthana","Moon in Maraka - mind attached to material comforts and family. Speech-related emotional stress.",IF(LEFT(B47,8)="Upachaya","Moon in Upachaya - mind improves with age and effort. Emotional strength builds over time.","")))))))</f>
        <v>Moon in Dusthana - mind faces challenges. Emotional stress or hidden fears. Remedial measures recommended.</v>
      </c>
    </row>
    <row r="48" spans="1:3" ht="30" customHeight="1" x14ac:dyDescent="0.25">
      <c r="A48" s="46" t="s">
        <v>104</v>
      </c>
      <c r="B48" s="47" t="str">
        <f>IF(Input!C14="","",IF(B30="Agni","Homa / Lamps",IF(B30="Jala","Abhisheka / Teertha",IF(B30="Vayu","Mantra Chanting","Charity / Daan"))))</f>
        <v>Abhisheka / Teertha</v>
      </c>
      <c r="C48" s="44" t="str">
        <f>IF(B48="","","Based on Moon Tatwa ("&amp;B30&amp;"): "&amp;IF(B30="Agni","Perform Homa, light lamps on Mondays for mental peace.",IF(B30="Jala","Perform Abhisheka on Mondays, visit water bodies and Teertha Sthanas for emotional healing.",IF(B30="Vayu","Chant Chandra Beeja Mantra on Mondays for mental clarity.","Give white clothes, rice, or milk in charity on Mondays for mental peace."))))</f>
        <v>Based on Moon Tatwa (Jala): Perform Abhisheka on Mondays, visit water bodies and Teertha Sthanas for emotional healing.</v>
      </c>
    </row>
    <row r="49" spans="1:6" ht="30" customHeight="1" x14ac:dyDescent="0.25">
      <c r="A49" s="48" t="s">
        <v>105</v>
      </c>
      <c r="B49" s="49" t="str">
        <f>IF(Tithi!G9="","",Tithi!G9 &amp; " — " &amp; Tithi!G10)</f>
        <v>Trayodashi — Krishna Paksha (Waning) — Weak, Malefic</v>
      </c>
      <c r="C49" s="50" t="s">
        <v>106</v>
      </c>
      <c r="D49" s="49"/>
      <c r="E49" s="49"/>
      <c r="F49" s="49"/>
    </row>
    <row r="50" spans="1:6" ht="17.25" customHeight="1" x14ac:dyDescent="0.3">
      <c r="A50" s="4" t="s">
        <v>107</v>
      </c>
      <c r="B50" s="4"/>
      <c r="C50" s="4"/>
      <c r="D50" s="4"/>
      <c r="E50" s="4"/>
      <c r="F50" s="4"/>
    </row>
    <row r="51" spans="1:6" ht="15" customHeight="1" x14ac:dyDescent="0.25">
      <c r="A51" s="51" t="s">
        <v>11</v>
      </c>
      <c r="B51" s="51" t="s">
        <v>108</v>
      </c>
      <c r="C51" s="52" t="s">
        <v>109</v>
      </c>
      <c r="D51" s="51" t="s">
        <v>17</v>
      </c>
      <c r="E51" s="51" t="s">
        <v>110</v>
      </c>
      <c r="F51" s="51" t="s">
        <v>111</v>
      </c>
    </row>
    <row r="52" spans="1:6" ht="30" customHeight="1" x14ac:dyDescent="0.25">
      <c r="A52" s="53" t="s">
        <v>20</v>
      </c>
      <c r="B52" s="54" t="str">
        <f>IF(Input!B13="","",LEFT(Input!B13,FIND(" - ",Input!B13)-1)&amp;" ("&amp;MID(Input!B13,FIND(" - ",Input!B13)+3,100)&amp;")")</f>
        <v>Mesha (Aries)</v>
      </c>
      <c r="C52" s="55" t="str">
        <f t="array" ref="C52">IF(Input!C13="","",INDEX('Planet Dignity'!$C$2:$C$13,Input!C13))</f>
        <v>Mars</v>
      </c>
      <c r="D52" s="54" t="str">
        <f>IF(Input!B13="","",Input!G13)</f>
        <v>⬆ Exalted</v>
      </c>
      <c r="E52" s="54" t="str">
        <f t="array" ref="E52">IF(Input!C13="","",INDEX('Reference Data'!F$2:F$13,Input!C13))</f>
        <v>Agni</v>
      </c>
      <c r="F52" s="55" t="str">
        <f t="array" ref="F52">IF(Input!C13="","",INDEX('Reference Data'!U$2:U$13,Input!C13))</f>
        <v>Energetic, Active, Aggressive, Initiative, Impulsive, Restless, Bold, Wants to Lead</v>
      </c>
    </row>
    <row r="53" spans="1:6" ht="30" customHeight="1" x14ac:dyDescent="0.25">
      <c r="A53" s="53" t="s">
        <v>22</v>
      </c>
      <c r="B53" s="54" t="str">
        <f>IF(Input!B14="","",LEFT(Input!B14,FIND(" - ",Input!B14)-1)&amp;" ("&amp;MID(Input!B14,FIND(" - ",Input!B14)+3,100)&amp;")")</f>
        <v>Meena (Pisces)</v>
      </c>
      <c r="C53" s="55" t="str">
        <f t="array" ref="C53">IF(Input!C14="","",INDEX('Planet Dignity'!$C$2:$C$13,Input!C14))</f>
        <v>Jupiter</v>
      </c>
      <c r="D53" s="54" t="str">
        <f>IF(Input!B14="","",Input!G14)</f>
        <v>—</v>
      </c>
      <c r="E53" s="54" t="str">
        <f t="array" ref="E53">IF(Input!C14="","",INDEX('Reference Data'!F$2:F$13,Input!C14))</f>
        <v>Jala</v>
      </c>
      <c r="F53" s="55" t="str">
        <f t="array" ref="F53">IF(Input!C14="","",INDEX('Reference Data'!U$2:U$13,Input!C14))</f>
        <v>Very Moody, Loyal, Loving, Hopeful, Spiritual, Influenced easily, Very emotional, Beautiful, Highly Satvik</v>
      </c>
    </row>
    <row r="54" spans="1:6" ht="30" customHeight="1" x14ac:dyDescent="0.25">
      <c r="A54" s="53" t="s">
        <v>24</v>
      </c>
      <c r="B54" s="54" t="str">
        <f>IF(Input!B15="","",LEFT(Input!B15,FIND(" - ",Input!B15)-1)&amp;" ("&amp;MID(Input!B15,FIND(" - ",Input!B15)+3,100)&amp;")")</f>
        <v>Mesha (Aries)</v>
      </c>
      <c r="C54" s="55" t="str">
        <f t="array" ref="C54">IF(Input!C15="","",INDEX('Planet Dignity'!$C$2:$C$13,Input!C15))</f>
        <v>Mars</v>
      </c>
      <c r="D54" s="54" t="str">
        <f>IF(Input!B15="","",Input!G15)</f>
        <v>🏠 Own House (Mesha)</v>
      </c>
      <c r="E54" s="54" t="str">
        <f t="array" ref="E54">IF(Input!C15="","",INDEX('Reference Data'!F$2:F$13,Input!C15))</f>
        <v>Agni</v>
      </c>
      <c r="F54" s="55" t="str">
        <f t="array" ref="F54">IF(Input!C15="","",INDEX('Reference Data'!U$2:U$13,Input!C15))</f>
        <v>Energetic, Active, Aggressive, Initiative, Impulsive, Restless, Bold, Wants to Lead</v>
      </c>
    </row>
    <row r="55" spans="1:6" ht="30" customHeight="1" x14ac:dyDescent="0.25">
      <c r="A55" s="53" t="s">
        <v>25</v>
      </c>
      <c r="B55" s="54" t="str">
        <f>IF(Input!B16="","",LEFT(Input!B16,FIND(" - ",Input!B16)-1)&amp;" ("&amp;MID(Input!B16,FIND(" - ",Input!B16)+3,100)&amp;")")</f>
        <v>Mesha (Aries)</v>
      </c>
      <c r="C55" s="55" t="str">
        <f t="array" ref="C55">IF(Input!C16="","",INDEX('Planet Dignity'!$C$2:$C$13,Input!C16))</f>
        <v>Mars</v>
      </c>
      <c r="D55" s="54" t="str">
        <f>IF(Input!B16="","",Input!G16)</f>
        <v>—</v>
      </c>
      <c r="E55" s="54" t="str">
        <f t="array" ref="E55">IF(Input!C16="","",INDEX('Reference Data'!F$2:F$13,Input!C16))</f>
        <v>Agni</v>
      </c>
      <c r="F55" s="55" t="str">
        <f t="array" ref="F55">IF(Input!C16="","",INDEX('Reference Data'!U$2:U$13,Input!C16))</f>
        <v>Energetic, Active, Aggressive, Initiative, Impulsive, Restless, Bold, Wants to Lead</v>
      </c>
    </row>
    <row r="56" spans="1:6" ht="30" customHeight="1" x14ac:dyDescent="0.25">
      <c r="A56" s="53" t="s">
        <v>26</v>
      </c>
      <c r="B56" s="54" t="str">
        <f>IF(Input!B17="","",LEFT(Input!B17,FIND(" - ",Input!B17)-1)&amp;" ("&amp;MID(Input!B17,FIND(" - ",Input!B17)+3,100)&amp;")")</f>
        <v>Simha (Leo)</v>
      </c>
      <c r="C56" s="55" t="str">
        <f t="array" ref="C56">IF(Input!C17="","",INDEX('Planet Dignity'!$C$2:$C$13,Input!C17))</f>
        <v>Sun</v>
      </c>
      <c r="D56" s="54" t="str">
        <f>IF(Input!B17="","",Input!G17)</f>
        <v>—</v>
      </c>
      <c r="E56" s="54" t="str">
        <f t="array" ref="E56">IF(Input!C17="","",INDEX('Reference Data'!F$2:F$13,Input!C17))</f>
        <v>Agni</v>
      </c>
      <c r="F56" s="55" t="str">
        <f t="array" ref="F56">IF(Input!C17="","",INDEX('Reference Data'!U$2:U$13,Input!C17))</f>
        <v>Energetic, Aggressive, Egoistic, Good in administration, Generous, Dominating, Leaders, Self respect</v>
      </c>
    </row>
    <row r="57" spans="1:6" ht="30" customHeight="1" x14ac:dyDescent="0.25">
      <c r="A57" s="53" t="s">
        <v>27</v>
      </c>
      <c r="B57" s="54" t="str">
        <f>IF(Input!B18="","",LEFT(Input!B18,FIND(" - ",Input!B18)-1)&amp;" ("&amp;MID(Input!B18,FIND(" - ",Input!B18)+3,100)&amp;")")</f>
        <v>Meena (Pisces)</v>
      </c>
      <c r="C57" s="55" t="str">
        <f t="array" ref="C57">IF(Input!C18="","",INDEX('Planet Dignity'!$C$2:$C$13,Input!C18))</f>
        <v>Jupiter</v>
      </c>
      <c r="D57" s="54" t="str">
        <f>IF(Input!B18="","",Input!G18)</f>
        <v>⭐ Deep Exalted (27° Meena)</v>
      </c>
      <c r="E57" s="54" t="str">
        <f t="array" ref="E57">IF(Input!C18="","",INDEX('Reference Data'!F$2:F$13,Input!C18))</f>
        <v>Jala</v>
      </c>
      <c r="F57" s="55" t="str">
        <f t="array" ref="F57">IF(Input!C18="","",INDEX('Reference Data'!U$2:U$13,Input!C18))</f>
        <v>Very Moody, Loyal, Loving, Hopeful, Spiritual, Influenced easily, Very emotional, Beautiful, Highly Satvik</v>
      </c>
    </row>
    <row r="58" spans="1:6" ht="30" customHeight="1" x14ac:dyDescent="0.25">
      <c r="A58" s="53" t="s">
        <v>28</v>
      </c>
      <c r="B58" s="54" t="str">
        <f>IF(Input!B19="","",LEFT(Input!B19,FIND(" - ",Input!B19)-1)&amp;" ("&amp;MID(Input!B19,FIND(" - ",Input!B19)+3,100)&amp;")")</f>
        <v>Meena (Pisces)</v>
      </c>
      <c r="C58" s="55" t="str">
        <f t="array" ref="C58">IF(Input!C19="","",INDEX('Planet Dignity'!$C$2:$C$13,Input!C19))</f>
        <v>Jupiter</v>
      </c>
      <c r="D58" s="54" t="str">
        <f>IF(Input!B19="","",Input!G19)</f>
        <v>—</v>
      </c>
      <c r="E58" s="54" t="str">
        <f t="array" ref="E58">IF(Input!C19="","",INDEX('Reference Data'!F$2:F$13,Input!C19))</f>
        <v>Jala</v>
      </c>
      <c r="F58" s="55" t="str">
        <f t="array" ref="F58">IF(Input!C19="","",INDEX('Reference Data'!U$2:U$13,Input!C19))</f>
        <v>Very Moody, Loyal, Loving, Hopeful, Spiritual, Influenced easily, Very emotional, Beautiful, Highly Satvik</v>
      </c>
    </row>
    <row r="59" spans="1:6" ht="30" customHeight="1" x14ac:dyDescent="0.25">
      <c r="A59" s="56" t="s">
        <v>29</v>
      </c>
      <c r="B59" s="54" t="str">
        <f>IF(Input!B20="","",LEFT(Input!B20,FIND(" - ",Input!B20)-1)&amp;" ("&amp;MID(Input!B20,FIND(" - ",Input!B20)+3,100)&amp;")")</f>
        <v>Meena (Pisces)</v>
      </c>
      <c r="C59" s="55" t="str">
        <f t="array" ref="C59">IF(Input!C20="","",INDEX('Planet Dignity'!$C$2:$C$13,Input!C20))</f>
        <v>Jupiter</v>
      </c>
      <c r="D59" s="54" t="str">
        <f>IF(Input!B20="","",Input!G20)</f>
        <v>—</v>
      </c>
      <c r="E59" s="54" t="str">
        <f t="array" ref="E59">IF(Input!C20="","",INDEX('Reference Data'!F$2:F$13,Input!C20))</f>
        <v>Jala</v>
      </c>
      <c r="F59" s="55" t="str">
        <f t="array" ref="F59">IF(Input!C20="","",INDEX('Reference Data'!U$2:U$13,Input!C20))</f>
        <v>Very Moody, Loyal, Loving, Hopeful, Spiritual, Influenced easily, Very emotional, Beautiful, Highly Satvik</v>
      </c>
    </row>
    <row r="60" spans="1:6" ht="30" customHeight="1" x14ac:dyDescent="0.25">
      <c r="A60" s="56" t="s">
        <v>30</v>
      </c>
      <c r="B60" s="54" t="str">
        <f>IF(Input!B21="","",LEFT(Input!B21,FIND(" - ",Input!B21)-1)&amp;" ("&amp;MID(Input!B21,FIND(" - ",Input!B21)+3,100)&amp;")")</f>
        <v>Kanya (Virgo)</v>
      </c>
      <c r="C60" s="55" t="str">
        <f t="array" ref="C60">IF(Input!C21="","",INDEX('Planet Dignity'!$C$2:$C$13,Input!C21))</f>
        <v>Mercury</v>
      </c>
      <c r="D60" s="54" t="str">
        <f>IF(Input!B21="","",Input!G21)</f>
        <v>—</v>
      </c>
      <c r="E60" s="54" t="str">
        <f t="array" ref="E60">IF(Input!C21="","",INDEX('Reference Data'!F$2:F$13,Input!C21))</f>
        <v>Prithvi</v>
      </c>
      <c r="F60" s="55" t="str">
        <f t="array" ref="F60">IF(Input!C21="","",INDEX('Reference Data'!U$2:U$13,Input!C21))</f>
        <v>Practical, Critical, Perfectionist, Cleanliness, Observant, Intelligent, Reserved, Organised, Analytical</v>
      </c>
    </row>
    <row r="61" spans="1:6" ht="15" customHeight="1" x14ac:dyDescent="0.25">
      <c r="C61" s="34"/>
    </row>
    <row r="62" spans="1:6" ht="17.25" customHeight="1" x14ac:dyDescent="0.3">
      <c r="A62" s="4" t="s">
        <v>112</v>
      </c>
      <c r="B62" s="4"/>
      <c r="C62" s="4"/>
      <c r="D62" s="4"/>
      <c r="E62" s="4"/>
      <c r="F62" s="4"/>
    </row>
    <row r="63" spans="1:6" ht="15" customHeight="1" x14ac:dyDescent="0.25">
      <c r="A63" s="28" t="s">
        <v>113</v>
      </c>
      <c r="B63" s="28" t="s">
        <v>114</v>
      </c>
      <c r="C63" s="35" t="s">
        <v>115</v>
      </c>
    </row>
    <row r="64" spans="1:6" ht="15" customHeight="1" x14ac:dyDescent="0.25">
      <c r="A64" s="29" t="s">
        <v>116</v>
      </c>
      <c r="B64" s="30">
        <f t="array" ref="B64">IF(Input!C13="","",SUMPRODUCT((Input!C13:C21&lt;&gt;"")*1*(INDEX('Reference Data'!E$2:E$13,IF(Input!C13:C21="",1,Input!C13:C21))="Chara")))</f>
        <v>9</v>
      </c>
      <c r="C64" s="31" t="s">
        <v>117</v>
      </c>
    </row>
    <row r="65" spans="1:6" ht="15" customHeight="1" x14ac:dyDescent="0.25">
      <c r="A65" s="29" t="s">
        <v>118</v>
      </c>
      <c r="B65" s="30">
        <f t="array" ref="B65">IF(Input!C13="","",SUMPRODUCT((Input!C13:C21&lt;&gt;"")*1*(INDEX('Reference Data'!E$2:E$13,IF(Input!C13:C21="",1,Input!C13:C21))="Sthira")))</f>
        <v>0</v>
      </c>
      <c r="C65" s="31" t="s">
        <v>119</v>
      </c>
    </row>
    <row r="66" spans="1:6" ht="15" customHeight="1" x14ac:dyDescent="0.25">
      <c r="A66" s="29" t="s">
        <v>120</v>
      </c>
      <c r="B66" s="30">
        <f t="array" ref="B66">IF(Input!C13="","",SUMPRODUCT((Input!C13:C21&lt;&gt;"")*1*(INDEX('Reference Data'!E$2:E$13,IF(Input!C13:C21="",1,Input!C13:C21))="Dwisabhava")))</f>
        <v>0</v>
      </c>
      <c r="C66" s="31" t="s">
        <v>121</v>
      </c>
    </row>
    <row r="67" spans="1:6" ht="15" customHeight="1" x14ac:dyDescent="0.25">
      <c r="A67" s="30"/>
      <c r="B67" s="30"/>
      <c r="C67" s="31"/>
    </row>
    <row r="68" spans="1:6" ht="15" customHeight="1" x14ac:dyDescent="0.25">
      <c r="A68" s="29" t="s">
        <v>122</v>
      </c>
      <c r="B68" s="30">
        <f t="array" ref="B68">IF(Input!C13="","",SUMPRODUCT((Input!C13:C21&lt;&gt;"")*1*(INDEX('Reference Data'!F$2:F$13,IF(Input!C13:C21="",1,Input!C13:C21))="Agni")))</f>
        <v>9</v>
      </c>
      <c r="C68" s="31" t="s">
        <v>123</v>
      </c>
    </row>
    <row r="69" spans="1:6" ht="15" customHeight="1" x14ac:dyDescent="0.25">
      <c r="A69" s="29" t="s">
        <v>124</v>
      </c>
      <c r="B69" s="30">
        <f t="array" ref="B69">IF(Input!C13="","",SUMPRODUCT((Input!C13:C21&lt;&gt;"")*1*(INDEX('Reference Data'!F$2:F$13,IF(Input!C13:C21="",1,Input!C13:C21))="Prithvi")))</f>
        <v>0</v>
      </c>
      <c r="C69" s="31" t="s">
        <v>125</v>
      </c>
    </row>
    <row r="70" spans="1:6" ht="15" customHeight="1" x14ac:dyDescent="0.25">
      <c r="A70" s="29" t="s">
        <v>126</v>
      </c>
      <c r="B70" s="30">
        <f t="array" ref="B70">IF(Input!C13="","",SUMPRODUCT((Input!C13:C21&lt;&gt;"")*1*(INDEX('Reference Data'!F$2:F$13,IF(Input!C13:C21="",1,Input!C13:C21))="Vayu")))</f>
        <v>0</v>
      </c>
      <c r="C70" s="31" t="s">
        <v>127</v>
      </c>
    </row>
    <row r="71" spans="1:6" ht="15" customHeight="1" x14ac:dyDescent="0.25">
      <c r="A71" s="29" t="s">
        <v>128</v>
      </c>
      <c r="B71" s="30">
        <f t="array" ref="B71">IF(Input!C13="","",SUMPRODUCT((Input!C13:C21&lt;&gt;"")*1*(INDEX('Reference Data'!F$2:F$13,IF(Input!C13:C21="",1,Input!C13:C21))="Jala")))</f>
        <v>0</v>
      </c>
      <c r="C71" s="31" t="s">
        <v>129</v>
      </c>
    </row>
    <row r="72" spans="1:6" ht="15" customHeight="1" x14ac:dyDescent="0.25">
      <c r="A72" s="30"/>
      <c r="B72" s="30"/>
      <c r="C72" s="31"/>
    </row>
    <row r="73" spans="1:6" ht="15" customHeight="1" x14ac:dyDescent="0.25">
      <c r="A73" s="29" t="s">
        <v>130</v>
      </c>
      <c r="B73" s="30">
        <f>IF(Input!C13="","",COUNTIF(Input!G13:G21,"*Exalted*"))</f>
        <v>2</v>
      </c>
      <c r="C73" s="31" t="s">
        <v>131</v>
      </c>
    </row>
    <row r="74" spans="1:6" ht="15" customHeight="1" x14ac:dyDescent="0.25">
      <c r="A74" s="29" t="s">
        <v>132</v>
      </c>
      <c r="B74" s="30">
        <f>IF(Input!C13="","",COUNTIF(Input!G13:G21,"*Debilitated*"))</f>
        <v>0</v>
      </c>
      <c r="C74" s="31" t="s">
        <v>133</v>
      </c>
    </row>
    <row r="75" spans="1:6" ht="15" customHeight="1" x14ac:dyDescent="0.25">
      <c r="A75" s="32" t="s">
        <v>134</v>
      </c>
      <c r="B75" s="57">
        <f>IF(Input!C13="","",COUNTIF(Input!G13:G21,"*Own House*"))</f>
        <v>1</v>
      </c>
      <c r="C75" s="33" t="s">
        <v>135</v>
      </c>
    </row>
    <row r="76" spans="1:6" ht="15" customHeight="1" x14ac:dyDescent="0.25">
      <c r="C76" s="34"/>
    </row>
    <row r="77" spans="1:6" ht="17.25" customHeight="1" x14ac:dyDescent="0.3">
      <c r="A77" s="4" t="s">
        <v>136</v>
      </c>
      <c r="B77" s="4"/>
      <c r="C77" s="4"/>
      <c r="D77" s="4"/>
      <c r="E77" s="4"/>
      <c r="F77" s="4"/>
    </row>
    <row r="78" spans="1:6" ht="15" customHeight="1" x14ac:dyDescent="0.25">
      <c r="A78" s="58" t="s">
        <v>137</v>
      </c>
      <c r="B78" s="58" t="s">
        <v>138</v>
      </c>
      <c r="C78" s="59" t="s">
        <v>42</v>
      </c>
    </row>
    <row r="79" spans="1:6" ht="15" customHeight="1" x14ac:dyDescent="0.25">
      <c r="A79" s="60" t="str">
        <f t="array" ref="A79">IF(Input!C12="","",INDEX('Reference Data'!F$2:F$13,Input!C12))</f>
        <v>Agni</v>
      </c>
      <c r="B79" t="str">
        <f>IF(A79="","",IF(A79="Agni","Homa / Lighting of Lamps",IF(A79="Jala","Abhisheka / Visit Teertha Sthanas",IF(A79="Vayu","Chanting of Mantras","Charity / Daan"))))</f>
        <v>Homa / Lighting of Lamps</v>
      </c>
      <c r="C79" s="34" t="str">
        <f>IF(A79="","",IF(A79="Agni","For Agni tatwa rashis, perform Homa (fire rituals) or light lamps as remedy.",IF(A79="Jala","For Jala tatwa rashis, perform Abhisheka (water offerings) or visit sacred water bodies.",IF(A79="Vayu","For Vayu tatwa rashis, chant mantras as the primary remedy.","For Prithvi tatwa rashis, give charity (Daan) as the primary remedy."))))</f>
        <v>For Agni tatwa rashis, perform Homa (fire rituals) or light lamps as remedy.</v>
      </c>
    </row>
    <row r="80" spans="1:6" ht="15" customHeight="1" x14ac:dyDescent="0.25">
      <c r="A80" t="s">
        <v>139</v>
      </c>
      <c r="B80" t="str">
        <f>IF(Input!G14="","",IF(OR(Input!G14="⬇ Debilitated",ISNUMBER(SEARCH("Krishna",Tithi!G10))),"Chant Mantra + Honour Mother + Don't Waste Food","—"))</f>
        <v>Chant Mantra + Honour Mother + Don't Waste Food</v>
      </c>
      <c r="C80" t="s">
        <v>140</v>
      </c>
    </row>
    <row r="82" spans="1:5" ht="15" customHeight="1" x14ac:dyDescent="0.25">
      <c r="A82" s="61" t="s">
        <v>141</v>
      </c>
    </row>
    <row r="83" spans="1:5" ht="15" customHeight="1" x14ac:dyDescent="0.25">
      <c r="A83" s="62" t="s">
        <v>142</v>
      </c>
      <c r="B83" s="62" t="s">
        <v>143</v>
      </c>
      <c r="C83" s="62" t="s">
        <v>144</v>
      </c>
      <c r="D83" s="62" t="s">
        <v>145</v>
      </c>
      <c r="E83" s="62" t="s">
        <v>42</v>
      </c>
    </row>
    <row r="84" spans="1:5" ht="15" customHeight="1" x14ac:dyDescent="0.25">
      <c r="A84" s="60" t="s">
        <v>146</v>
      </c>
      <c r="B84">
        <f>IF(OR(Input!C12="",Input!C15=""),"",MOD(Input!C15-Input!C12,12)+1)</f>
        <v>9</v>
      </c>
      <c r="C84" t="str">
        <f>IF(B84="","",IF(OR(B84=2,B84=4,B84=7,B84=8,B84=12),"⚠ YES","— No"))</f>
        <v>— No</v>
      </c>
      <c r="D84" t="str">
        <f>IF(B84="","",IF(OR(B84=7,B84=8),"HIGH (7th/8th from Lagna)",IF(OR(B84=2,B84=4,B84=12),"Moderate","—")))</f>
        <v>—</v>
      </c>
      <c r="E84" t="str">
        <f>IF(B84="","","Mars is in House "&amp;B84&amp;" from Lagna. Kuja Dosha houses are 2,4,7,8,12. Lagna gives the strongest impact.")</f>
        <v>Mars is in House 9 from Lagna. Kuja Dosha houses are 2,4,7,8,12. Lagna gives the strongest impact.</v>
      </c>
    </row>
    <row r="85" spans="1:5" ht="15" customHeight="1" x14ac:dyDescent="0.25">
      <c r="A85" s="60" t="s">
        <v>147</v>
      </c>
      <c r="B85">
        <f>IF(OR(Input!C18="",Input!C15=""),"",MOD(Input!C15-Input!C18,12)+1)</f>
        <v>2</v>
      </c>
      <c r="C85" t="str">
        <f>IF(B85="","",IF(OR(B85=2,B85=4,B85=7,B85=8,B85=12),"⚠ YES","— No"))</f>
        <v>⚠ YES</v>
      </c>
      <c r="D85" t="str">
        <f>IF(B85="","",IF(OR(B85=2,B85=4,B85=7,B85=8,B85=12),"Moderate (stronger than Moon, weaker than Lagna)","—"))</f>
        <v>Moderate (stronger than Moon, weaker than Lagna)</v>
      </c>
      <c r="E85" t="str">
        <f>IF(B85="","","Mars is in House "&amp;B85&amp;" from Venus. Kuja Dosha houses are 2,4,7,8,12.")</f>
        <v>Mars is in House 2 from Venus. Kuja Dosha houses are 2,4,7,8,12.</v>
      </c>
    </row>
    <row r="86" spans="1:5" ht="15" customHeight="1" x14ac:dyDescent="0.25">
      <c r="A86" s="60" t="s">
        <v>148</v>
      </c>
      <c r="B86">
        <f>IF(OR(Input!C14="",Input!C15=""),"",MOD(Input!C15-Input!C14,12)+1)</f>
        <v>2</v>
      </c>
      <c r="C86" t="str">
        <f>IF(B86="","",IF(OR(B86=2,B86=4,B86=7,B86=8,B86=12),"⚠ YES","— No"))</f>
        <v>⚠ YES</v>
      </c>
      <c r="D86" t="str">
        <f>IF(B86="","",IF(OR(B86=2,B86=4,B86=7,B86=8,B86=12),"Mild (Moon-based dosha is not that strong)","—"))</f>
        <v>Mild (Moon-based dosha is not that strong)</v>
      </c>
      <c r="E86" t="str">
        <f>IF(B86="","","Mars is in House "&amp;B86&amp;" from Moon. Kuja Dosha houses are 2,4,7,8,12. Moon-based dosha is the weakest.")</f>
        <v>Mars is in House 2 from Moon. Kuja Dosha houses are 2,4,7,8,12. Moon-based dosha is the weakest.</v>
      </c>
    </row>
    <row r="88" spans="1:5" ht="15" customHeight="1" x14ac:dyDescent="0.25">
      <c r="A88" s="63" t="s">
        <v>149</v>
      </c>
    </row>
    <row r="89" spans="1:5" ht="15" customHeight="1" x14ac:dyDescent="0.25">
      <c r="A89" s="62" t="s">
        <v>150</v>
      </c>
      <c r="B89" s="62" t="s">
        <v>151</v>
      </c>
      <c r="C89" s="62" t="s">
        <v>42</v>
      </c>
    </row>
    <row r="90" spans="1:5" ht="15" customHeight="1" x14ac:dyDescent="0.25">
      <c r="A90" s="60" t="s">
        <v>152</v>
      </c>
      <c r="B90" t="str">
        <f>IF(Input!G15="","",IF(OR(ISNUMBER(SEARCH("Exalted",Input!G15)),ISNUMBER(SEARCH("Own House",Input!G15)),ISNUMBER(SEARCH("Moola",Input!G15))),"✅ Cancelled","❌ Not Met"))</f>
        <v>✅ Cancelled</v>
      </c>
      <c r="C90" t="str">
        <f>IF(Input!G15="","","Mars Dignity: "&amp;Input!G15)</f>
        <v>Mars Dignity: 🏠 Own House (Mesha)</v>
      </c>
    </row>
    <row r="91" spans="1:5" ht="15" customHeight="1" x14ac:dyDescent="0.25">
      <c r="A91" s="60" t="s">
        <v>153</v>
      </c>
      <c r="B91" t="str">
        <f>IF(Input!C12="","",IF(OR(Input!C12=4,Input!C12=5),"✅ Cancelled","❌ Not Met"))</f>
        <v>✅ Cancelled</v>
      </c>
      <c r="C91" t="str">
        <f>IF(Input!C12="","","Lagna: "&amp;Input!B12&amp;IF(OR(Input!C12=4,Input!C12=5)," — Karkataka/Simha Lagna natives have no Kuja Dosha."," — Not Karkataka or Simha Lagna."))</f>
        <v>Lagna: Simha - Leo — Karkataka/Simha Lagna natives have no Kuja Dosha.</v>
      </c>
    </row>
    <row r="92" spans="1:5" ht="15" customHeight="1" x14ac:dyDescent="0.25">
      <c r="A92" s="60" t="s">
        <v>154</v>
      </c>
      <c r="B92" t="s">
        <v>155</v>
      </c>
      <c r="C92" t="s">
        <v>156</v>
      </c>
    </row>
    <row r="93" spans="1:5" ht="15" customHeight="1" x14ac:dyDescent="0.25">
      <c r="A93" s="60" t="s">
        <v>157</v>
      </c>
      <c r="B93" t="str">
        <f ca="1">IF(Input!B5="","",IF((TODAY()-Input!B5)/365.25&gt;=28,"✅ Reduced","❌ Not Met (under 28)"))</f>
        <v>✅ Reduced</v>
      </c>
      <c r="C93" t="str">
        <f ca="1">IF(Input!B5="","","Current age: "&amp;ROUND((TODAY()-Input!B5)/365.25,1)&amp;" years. Kuja Dosha reduces in intensity after 28 years of age.")</f>
        <v>Current age: 30.9 years. Kuja Dosha reduces in intensity after 28 years of age.</v>
      </c>
    </row>
    <row r="94" spans="1:5" ht="15" customHeight="1" x14ac:dyDescent="0.25">
      <c r="A94" s="64" t="s">
        <v>158</v>
      </c>
      <c r="B94" t="str">
        <f>IF(OR(B84="",B85="",B86=""),"",IF(OR(B90="✅ Cancelled",B91="✅ Cancelled"),"✅ Kuja Dosha CANCELLED (auto-detected). Verify manual cancellation factors as well.",IF(AND(LEFT(C84,1)="—",LEFT(C85,1)="—",LEFT(C86,1)="—"),"✅ No Kuja Dosha from any reference point.",IF(B93="✅ Reduced","⚠ Kuja Dosha PRESENT but REDUCED (native over 28). Verify other manual cancellations.","⚠ Kuja Dosha PRESENT. Severity depends on source (Lagna strongest). Verify manual cancellation factors (Saturn aspect, nakshatra, partner status)."))))</f>
        <v>✅ Kuja Dosha CANCELLED (auto-detected). Verify manual cancellation factors as well.</v>
      </c>
      <c r="C94" t="s">
        <v>159</v>
      </c>
    </row>
  </sheetData>
  <mergeCells count="7">
    <mergeCell ref="A62:F62"/>
    <mergeCell ref="A77:F77"/>
    <mergeCell ref="A1:F1"/>
    <mergeCell ref="A2:F2"/>
    <mergeCell ref="A4:F4"/>
    <mergeCell ref="A25:F25"/>
    <mergeCell ref="A50:F50"/>
  </mergeCells>
  <conditionalFormatting sqref="D52:D60">
    <cfRule type="containsText" dxfId="2" priority="2" operator="containsText" text="Exalted">
      <formula>NOT(ISERROR(SEARCH("Exalted",D52)))</formula>
    </cfRule>
    <cfRule type="containsText" dxfId="1" priority="3" operator="containsText" text="Debilitated">
      <formula>NOT(ISERROR(SEARCH("Debilitated",D52)))</formula>
    </cfRule>
    <cfRule type="containsText" dxfId="0" priority="4" operator="containsText" text="Own House">
      <formula>NOT(ISERROR(SEARCH("Own House",D52)))</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3"/>
  <sheetViews>
    <sheetView zoomScaleNormal="100" workbookViewId="0">
      <selection activeCell="E13" sqref="E13"/>
    </sheetView>
  </sheetViews>
  <sheetFormatPr defaultColWidth="8.5703125" defaultRowHeight="15" x14ac:dyDescent="0.25"/>
  <cols>
    <col min="1" max="1" width="11.42578125" customWidth="1"/>
    <col min="2" max="2" width="21" customWidth="1"/>
    <col min="3" max="3" width="19" customWidth="1"/>
    <col min="4" max="19" width="24.7109375" customWidth="1"/>
    <col min="20" max="20" width="53.28515625" customWidth="1"/>
    <col min="21" max="21" width="66.7109375" customWidth="1"/>
  </cols>
  <sheetData>
    <row r="1" spans="1:21" ht="15" customHeight="1" x14ac:dyDescent="0.25">
      <c r="A1" s="65" t="s">
        <v>160</v>
      </c>
      <c r="B1" s="65" t="s">
        <v>161</v>
      </c>
      <c r="C1" s="65" t="s">
        <v>162</v>
      </c>
      <c r="D1" s="65" t="s">
        <v>163</v>
      </c>
      <c r="E1" s="65" t="s">
        <v>164</v>
      </c>
      <c r="F1" s="65" t="s">
        <v>48</v>
      </c>
      <c r="G1" s="65" t="s">
        <v>49</v>
      </c>
      <c r="H1" s="65" t="s">
        <v>51</v>
      </c>
      <c r="I1" s="65" t="s">
        <v>53</v>
      </c>
      <c r="J1" s="65" t="s">
        <v>54</v>
      </c>
      <c r="K1" s="65" t="s">
        <v>55</v>
      </c>
      <c r="L1" s="65" t="s">
        <v>56</v>
      </c>
      <c r="M1" s="65" t="s">
        <v>165</v>
      </c>
      <c r="N1" s="65" t="s">
        <v>60</v>
      </c>
      <c r="O1" s="65" t="s">
        <v>166</v>
      </c>
      <c r="P1" s="65" t="s">
        <v>62</v>
      </c>
      <c r="Q1" s="65" t="s">
        <v>167</v>
      </c>
      <c r="R1" s="65" t="s">
        <v>168</v>
      </c>
      <c r="S1" s="65" t="s">
        <v>67</v>
      </c>
      <c r="T1" s="65" t="s">
        <v>169</v>
      </c>
      <c r="U1" s="65" t="s">
        <v>170</v>
      </c>
    </row>
    <row r="2" spans="1:21" ht="30" customHeight="1" x14ac:dyDescent="0.25">
      <c r="A2" s="54">
        <v>1</v>
      </c>
      <c r="B2" s="54" t="s">
        <v>171</v>
      </c>
      <c r="C2" s="54" t="s">
        <v>172</v>
      </c>
      <c r="D2" s="54" t="s">
        <v>173</v>
      </c>
      <c r="E2" s="54" t="s">
        <v>174</v>
      </c>
      <c r="F2" s="54" t="s">
        <v>175</v>
      </c>
      <c r="G2" s="54" t="s">
        <v>176</v>
      </c>
      <c r="H2" s="54" t="s">
        <v>177</v>
      </c>
      <c r="I2" s="54" t="s">
        <v>178</v>
      </c>
      <c r="J2" s="54" t="s">
        <v>179</v>
      </c>
      <c r="K2" s="54" t="s">
        <v>180</v>
      </c>
      <c r="L2" s="54" t="s">
        <v>181</v>
      </c>
      <c r="M2" s="54" t="s">
        <v>182</v>
      </c>
      <c r="N2" s="54" t="s">
        <v>183</v>
      </c>
      <c r="O2" s="54" t="s">
        <v>184</v>
      </c>
      <c r="P2" s="54" t="s">
        <v>185</v>
      </c>
      <c r="Q2" s="54" t="s">
        <v>186</v>
      </c>
      <c r="R2" s="54" t="s">
        <v>187</v>
      </c>
      <c r="S2" s="54" t="s">
        <v>188</v>
      </c>
      <c r="T2" s="54" t="s">
        <v>189</v>
      </c>
      <c r="U2" s="55" t="s">
        <v>190</v>
      </c>
    </row>
    <row r="3" spans="1:21" ht="30" customHeight="1" x14ac:dyDescent="0.25">
      <c r="A3" s="66">
        <v>2</v>
      </c>
      <c r="B3" s="66" t="s">
        <v>191</v>
      </c>
      <c r="C3" s="66" t="s">
        <v>192</v>
      </c>
      <c r="D3" s="66" t="s">
        <v>193</v>
      </c>
      <c r="E3" s="66" t="s">
        <v>194</v>
      </c>
      <c r="F3" s="66" t="s">
        <v>195</v>
      </c>
      <c r="G3" s="66" t="s">
        <v>196</v>
      </c>
      <c r="H3" s="66" t="s">
        <v>197</v>
      </c>
      <c r="I3" s="66" t="s">
        <v>198</v>
      </c>
      <c r="J3" s="66" t="s">
        <v>179</v>
      </c>
      <c r="K3" s="66" t="s">
        <v>199</v>
      </c>
      <c r="L3" s="66" t="s">
        <v>200</v>
      </c>
      <c r="M3" s="66" t="s">
        <v>182</v>
      </c>
      <c r="N3" s="66" t="s">
        <v>183</v>
      </c>
      <c r="O3" s="66" t="s">
        <v>184</v>
      </c>
      <c r="P3" s="66" t="s">
        <v>201</v>
      </c>
      <c r="Q3" s="66" t="s">
        <v>202</v>
      </c>
      <c r="R3" s="66" t="s">
        <v>203</v>
      </c>
      <c r="S3" s="66" t="s">
        <v>204</v>
      </c>
      <c r="T3" s="66" t="s">
        <v>205</v>
      </c>
      <c r="U3" s="67" t="s">
        <v>206</v>
      </c>
    </row>
    <row r="4" spans="1:21" ht="30" customHeight="1" x14ac:dyDescent="0.25">
      <c r="A4" s="54">
        <v>3</v>
      </c>
      <c r="B4" s="54" t="s">
        <v>207</v>
      </c>
      <c r="C4" s="54" t="s">
        <v>208</v>
      </c>
      <c r="D4" s="54" t="s">
        <v>173</v>
      </c>
      <c r="E4" s="54" t="s">
        <v>209</v>
      </c>
      <c r="F4" s="54" t="s">
        <v>210</v>
      </c>
      <c r="G4" s="54" t="s">
        <v>211</v>
      </c>
      <c r="H4" s="54" t="s">
        <v>212</v>
      </c>
      <c r="I4" s="54" t="s">
        <v>213</v>
      </c>
      <c r="J4" s="54" t="s">
        <v>179</v>
      </c>
      <c r="K4" s="54" t="s">
        <v>214</v>
      </c>
      <c r="L4" s="54" t="s">
        <v>181</v>
      </c>
      <c r="M4" s="54" t="s">
        <v>182</v>
      </c>
      <c r="N4" s="54" t="s">
        <v>215</v>
      </c>
      <c r="O4" s="54" t="s">
        <v>216</v>
      </c>
      <c r="P4" s="54" t="s">
        <v>62</v>
      </c>
      <c r="Q4" s="54" t="s">
        <v>217</v>
      </c>
      <c r="R4" s="54" t="s">
        <v>218</v>
      </c>
      <c r="S4" s="54" t="s">
        <v>219</v>
      </c>
      <c r="T4" s="54" t="s">
        <v>220</v>
      </c>
      <c r="U4" s="55" t="s">
        <v>221</v>
      </c>
    </row>
    <row r="5" spans="1:21" ht="30" customHeight="1" x14ac:dyDescent="0.25">
      <c r="A5" s="66">
        <v>4</v>
      </c>
      <c r="B5" s="66" t="s">
        <v>222</v>
      </c>
      <c r="C5" s="66" t="s">
        <v>223</v>
      </c>
      <c r="D5" s="66" t="s">
        <v>193</v>
      </c>
      <c r="E5" s="66" t="s">
        <v>174</v>
      </c>
      <c r="F5" s="66" t="s">
        <v>224</v>
      </c>
      <c r="G5" s="66" t="s">
        <v>225</v>
      </c>
      <c r="H5" s="66" t="s">
        <v>226</v>
      </c>
      <c r="I5" s="66" t="s">
        <v>227</v>
      </c>
      <c r="J5" s="66" t="s">
        <v>228</v>
      </c>
      <c r="K5" s="66" t="s">
        <v>180</v>
      </c>
      <c r="L5" s="66" t="s">
        <v>229</v>
      </c>
      <c r="M5" s="66" t="s">
        <v>182</v>
      </c>
      <c r="N5" s="66" t="s">
        <v>183</v>
      </c>
      <c r="O5" s="66" t="s">
        <v>230</v>
      </c>
      <c r="P5" s="66" t="s">
        <v>231</v>
      </c>
      <c r="Q5" s="66" t="s">
        <v>232</v>
      </c>
      <c r="R5" s="66" t="s">
        <v>233</v>
      </c>
      <c r="S5" s="66" t="s">
        <v>234</v>
      </c>
      <c r="T5" s="66" t="s">
        <v>235</v>
      </c>
      <c r="U5" s="67" t="s">
        <v>236</v>
      </c>
    </row>
    <row r="6" spans="1:21" ht="30" customHeight="1" x14ac:dyDescent="0.25">
      <c r="A6" s="54">
        <v>5</v>
      </c>
      <c r="B6" s="54" t="s">
        <v>237</v>
      </c>
      <c r="C6" s="54" t="s">
        <v>238</v>
      </c>
      <c r="D6" s="54" t="s">
        <v>173</v>
      </c>
      <c r="E6" s="54" t="s">
        <v>194</v>
      </c>
      <c r="F6" s="54" t="s">
        <v>175</v>
      </c>
      <c r="G6" s="54" t="s">
        <v>176</v>
      </c>
      <c r="H6" s="54" t="s">
        <v>177</v>
      </c>
      <c r="I6" s="54" t="s">
        <v>178</v>
      </c>
      <c r="J6" s="54" t="s">
        <v>228</v>
      </c>
      <c r="K6" s="54" t="s">
        <v>199</v>
      </c>
      <c r="L6" s="54" t="s">
        <v>181</v>
      </c>
      <c r="M6" s="54" t="s">
        <v>239</v>
      </c>
      <c r="N6" s="54" t="s">
        <v>215</v>
      </c>
      <c r="O6" s="54" t="s">
        <v>240</v>
      </c>
      <c r="P6" s="54" t="s">
        <v>185</v>
      </c>
      <c r="Q6" s="54" t="s">
        <v>241</v>
      </c>
      <c r="R6" s="54" t="s">
        <v>242</v>
      </c>
      <c r="S6" s="54" t="s">
        <v>243</v>
      </c>
      <c r="T6" s="54" t="s">
        <v>244</v>
      </c>
      <c r="U6" s="55" t="s">
        <v>245</v>
      </c>
    </row>
    <row r="7" spans="1:21" ht="30" customHeight="1" x14ac:dyDescent="0.25">
      <c r="A7" s="66">
        <v>6</v>
      </c>
      <c r="B7" s="66" t="s">
        <v>246</v>
      </c>
      <c r="C7" s="66" t="s">
        <v>247</v>
      </c>
      <c r="D7" s="66" t="s">
        <v>193</v>
      </c>
      <c r="E7" s="66" t="s">
        <v>209</v>
      </c>
      <c r="F7" s="66" t="s">
        <v>195</v>
      </c>
      <c r="G7" s="66" t="s">
        <v>196</v>
      </c>
      <c r="H7" s="66" t="s">
        <v>197</v>
      </c>
      <c r="I7" s="66" t="s">
        <v>198</v>
      </c>
      <c r="J7" s="66" t="s">
        <v>248</v>
      </c>
      <c r="K7" s="66" t="s">
        <v>214</v>
      </c>
      <c r="L7" s="66" t="s">
        <v>181</v>
      </c>
      <c r="M7" s="66" t="s">
        <v>239</v>
      </c>
      <c r="N7" s="66" t="s">
        <v>215</v>
      </c>
      <c r="O7" s="66" t="s">
        <v>216</v>
      </c>
      <c r="P7" s="66" t="s">
        <v>201</v>
      </c>
      <c r="Q7" s="66" t="s">
        <v>249</v>
      </c>
      <c r="R7" s="66" t="s">
        <v>250</v>
      </c>
      <c r="S7" s="66" t="s">
        <v>251</v>
      </c>
      <c r="T7" s="66" t="s">
        <v>252</v>
      </c>
      <c r="U7" s="67" t="s">
        <v>253</v>
      </c>
    </row>
    <row r="8" spans="1:21" ht="30" customHeight="1" x14ac:dyDescent="0.25">
      <c r="A8" s="54">
        <v>7</v>
      </c>
      <c r="B8" s="54" t="s">
        <v>254</v>
      </c>
      <c r="C8" s="54" t="s">
        <v>255</v>
      </c>
      <c r="D8" s="54" t="s">
        <v>173</v>
      </c>
      <c r="E8" s="54" t="s">
        <v>174</v>
      </c>
      <c r="F8" s="54" t="s">
        <v>210</v>
      </c>
      <c r="G8" s="54" t="s">
        <v>211</v>
      </c>
      <c r="H8" s="54" t="s">
        <v>212</v>
      </c>
      <c r="I8" s="54" t="s">
        <v>213</v>
      </c>
      <c r="J8" s="54" t="s">
        <v>179</v>
      </c>
      <c r="K8" s="54" t="s">
        <v>180</v>
      </c>
      <c r="L8" s="54" t="s">
        <v>200</v>
      </c>
      <c r="M8" s="54" t="s">
        <v>239</v>
      </c>
      <c r="N8" s="54" t="s">
        <v>215</v>
      </c>
      <c r="O8" s="54" t="s">
        <v>216</v>
      </c>
      <c r="P8" s="54" t="s">
        <v>201</v>
      </c>
      <c r="Q8" s="54" t="s">
        <v>256</v>
      </c>
      <c r="R8" s="54" t="s">
        <v>257</v>
      </c>
      <c r="S8" s="54" t="s">
        <v>258</v>
      </c>
      <c r="T8" s="54" t="s">
        <v>259</v>
      </c>
      <c r="U8" s="55" t="s">
        <v>260</v>
      </c>
    </row>
    <row r="9" spans="1:21" ht="30" customHeight="1" x14ac:dyDescent="0.25">
      <c r="A9" s="66">
        <v>8</v>
      </c>
      <c r="B9" s="66" t="s">
        <v>261</v>
      </c>
      <c r="C9" s="66" t="s">
        <v>262</v>
      </c>
      <c r="D9" s="66" t="s">
        <v>193</v>
      </c>
      <c r="E9" s="66" t="s">
        <v>194</v>
      </c>
      <c r="F9" s="66" t="s">
        <v>224</v>
      </c>
      <c r="G9" s="66" t="s">
        <v>225</v>
      </c>
      <c r="H9" s="66" t="s">
        <v>226</v>
      </c>
      <c r="I9" s="66" t="s">
        <v>227</v>
      </c>
      <c r="J9" s="66" t="s">
        <v>179</v>
      </c>
      <c r="K9" s="66" t="s">
        <v>199</v>
      </c>
      <c r="L9" s="66" t="s">
        <v>229</v>
      </c>
      <c r="M9" s="66" t="s">
        <v>239</v>
      </c>
      <c r="N9" s="66" t="s">
        <v>215</v>
      </c>
      <c r="O9" s="66" t="s">
        <v>263</v>
      </c>
      <c r="P9" s="66" t="s">
        <v>231</v>
      </c>
      <c r="Q9" s="66" t="s">
        <v>264</v>
      </c>
      <c r="R9" s="66" t="s">
        <v>265</v>
      </c>
      <c r="S9" s="66" t="s">
        <v>266</v>
      </c>
      <c r="T9" s="66" t="s">
        <v>267</v>
      </c>
      <c r="U9" s="67" t="s">
        <v>268</v>
      </c>
    </row>
    <row r="10" spans="1:21" ht="30" customHeight="1" x14ac:dyDescent="0.25">
      <c r="A10" s="54">
        <v>9</v>
      </c>
      <c r="B10" s="54" t="s">
        <v>269</v>
      </c>
      <c r="C10" s="54" t="s">
        <v>270</v>
      </c>
      <c r="D10" s="54" t="s">
        <v>173</v>
      </c>
      <c r="E10" s="54" t="s">
        <v>209</v>
      </c>
      <c r="F10" s="54" t="s">
        <v>175</v>
      </c>
      <c r="G10" s="54" t="s">
        <v>176</v>
      </c>
      <c r="H10" s="54" t="s">
        <v>177</v>
      </c>
      <c r="I10" s="54" t="s">
        <v>178</v>
      </c>
      <c r="J10" s="54" t="s">
        <v>228</v>
      </c>
      <c r="K10" s="54" t="s">
        <v>214</v>
      </c>
      <c r="L10" s="54" t="s">
        <v>200</v>
      </c>
      <c r="M10" s="54" t="s">
        <v>182</v>
      </c>
      <c r="N10" s="54" t="s">
        <v>183</v>
      </c>
      <c r="O10" s="54" t="s">
        <v>271</v>
      </c>
      <c r="P10" s="54" t="s">
        <v>185</v>
      </c>
      <c r="Q10" s="54" t="s">
        <v>272</v>
      </c>
      <c r="R10" s="54" t="s">
        <v>273</v>
      </c>
      <c r="S10" s="54" t="s">
        <v>274</v>
      </c>
      <c r="T10" s="54" t="s">
        <v>275</v>
      </c>
      <c r="U10" s="55" t="s">
        <v>276</v>
      </c>
    </row>
    <row r="11" spans="1:21" ht="30" customHeight="1" x14ac:dyDescent="0.25">
      <c r="A11" s="66">
        <v>10</v>
      </c>
      <c r="B11" s="66" t="s">
        <v>277</v>
      </c>
      <c r="C11" s="66" t="s">
        <v>278</v>
      </c>
      <c r="D11" s="66" t="s">
        <v>193</v>
      </c>
      <c r="E11" s="66" t="s">
        <v>174</v>
      </c>
      <c r="F11" s="66" t="s">
        <v>195</v>
      </c>
      <c r="G11" s="66" t="s">
        <v>196</v>
      </c>
      <c r="H11" s="66" t="s">
        <v>197</v>
      </c>
      <c r="I11" s="66" t="s">
        <v>198</v>
      </c>
      <c r="J11" s="66" t="s">
        <v>248</v>
      </c>
      <c r="K11" s="66" t="s">
        <v>180</v>
      </c>
      <c r="L11" s="66" t="s">
        <v>200</v>
      </c>
      <c r="M11" s="66" t="s">
        <v>182</v>
      </c>
      <c r="N11" s="66" t="s">
        <v>183</v>
      </c>
      <c r="O11" s="66" t="s">
        <v>279</v>
      </c>
      <c r="P11" s="66" t="s">
        <v>201</v>
      </c>
      <c r="Q11" s="66" t="s">
        <v>280</v>
      </c>
      <c r="R11" s="66" t="s">
        <v>281</v>
      </c>
      <c r="S11" s="66" t="s">
        <v>282</v>
      </c>
      <c r="T11" s="66" t="s">
        <v>283</v>
      </c>
      <c r="U11" s="67" t="s">
        <v>284</v>
      </c>
    </row>
    <row r="12" spans="1:21" ht="30" customHeight="1" x14ac:dyDescent="0.25">
      <c r="A12" s="54">
        <v>11</v>
      </c>
      <c r="B12" s="54" t="s">
        <v>285</v>
      </c>
      <c r="C12" s="54" t="s">
        <v>286</v>
      </c>
      <c r="D12" s="54" t="s">
        <v>173</v>
      </c>
      <c r="E12" s="54" t="s">
        <v>194</v>
      </c>
      <c r="F12" s="54" t="s">
        <v>210</v>
      </c>
      <c r="G12" s="54" t="s">
        <v>211</v>
      </c>
      <c r="H12" s="54" t="s">
        <v>212</v>
      </c>
      <c r="I12" s="54" t="s">
        <v>213</v>
      </c>
      <c r="J12" s="54" t="s">
        <v>248</v>
      </c>
      <c r="K12" s="54" t="s">
        <v>199</v>
      </c>
      <c r="L12" s="54" t="s">
        <v>200</v>
      </c>
      <c r="M12" s="54" t="s">
        <v>239</v>
      </c>
      <c r="N12" s="54" t="s">
        <v>215</v>
      </c>
      <c r="O12" s="54" t="s">
        <v>216</v>
      </c>
      <c r="P12" s="54" t="s">
        <v>201</v>
      </c>
      <c r="Q12" s="54" t="s">
        <v>287</v>
      </c>
      <c r="R12" s="54" t="s">
        <v>288</v>
      </c>
      <c r="S12" s="54" t="s">
        <v>289</v>
      </c>
      <c r="T12" s="54" t="s">
        <v>290</v>
      </c>
      <c r="U12" s="55" t="s">
        <v>291</v>
      </c>
    </row>
    <row r="13" spans="1:21" ht="30" customHeight="1" x14ac:dyDescent="0.25">
      <c r="A13" s="66">
        <v>12</v>
      </c>
      <c r="B13" s="66" t="s">
        <v>292</v>
      </c>
      <c r="C13" s="66" t="s">
        <v>293</v>
      </c>
      <c r="D13" s="66" t="s">
        <v>193</v>
      </c>
      <c r="E13" s="66" t="s">
        <v>209</v>
      </c>
      <c r="F13" s="66" t="s">
        <v>224</v>
      </c>
      <c r="G13" s="66" t="s">
        <v>225</v>
      </c>
      <c r="H13" s="66" t="s">
        <v>226</v>
      </c>
      <c r="I13" s="66" t="s">
        <v>227</v>
      </c>
      <c r="J13" s="66" t="s">
        <v>228</v>
      </c>
      <c r="K13" s="66" t="s">
        <v>214</v>
      </c>
      <c r="L13" s="66" t="s">
        <v>229</v>
      </c>
      <c r="M13" s="66" t="s">
        <v>239</v>
      </c>
      <c r="N13" s="66" t="s">
        <v>294</v>
      </c>
      <c r="O13" s="66" t="s">
        <v>230</v>
      </c>
      <c r="P13" s="66" t="s">
        <v>231</v>
      </c>
      <c r="Q13" s="66" t="s">
        <v>202</v>
      </c>
      <c r="R13" s="66" t="s">
        <v>295</v>
      </c>
      <c r="S13" s="66" t="s">
        <v>296</v>
      </c>
      <c r="T13" s="66" t="s">
        <v>297</v>
      </c>
      <c r="U13" s="67" t="s">
        <v>298</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9"/>
  <sheetViews>
    <sheetView topLeftCell="A16" zoomScaleNormal="100" workbookViewId="0">
      <selection activeCell="B28" sqref="B28"/>
    </sheetView>
  </sheetViews>
  <sheetFormatPr defaultColWidth="8.5703125" defaultRowHeight="15" x14ac:dyDescent="0.25"/>
  <cols>
    <col min="1" max="1" width="11.42578125" customWidth="1"/>
    <col min="2" max="2" width="21" customWidth="1"/>
    <col min="3" max="3" width="17.140625" customWidth="1"/>
    <col min="4" max="4" width="11.42578125" customWidth="1"/>
    <col min="5" max="6" width="24.7109375" customWidth="1"/>
    <col min="7" max="10" width="30.42578125" customWidth="1"/>
  </cols>
  <sheetData>
    <row r="1" spans="1:10" ht="15" customHeight="1" x14ac:dyDescent="0.25">
      <c r="A1" s="65" t="s">
        <v>14</v>
      </c>
      <c r="B1" s="65" t="s">
        <v>299</v>
      </c>
      <c r="C1" s="65" t="s">
        <v>300</v>
      </c>
      <c r="D1" s="65" t="s">
        <v>301</v>
      </c>
      <c r="E1" s="65" t="s">
        <v>302</v>
      </c>
      <c r="F1" s="65" t="s">
        <v>303</v>
      </c>
      <c r="G1" s="68" t="s">
        <v>304</v>
      </c>
      <c r="H1" s="68" t="s">
        <v>305</v>
      </c>
      <c r="I1" s="68" t="s">
        <v>306</v>
      </c>
      <c r="J1" s="68" t="s">
        <v>307</v>
      </c>
    </row>
    <row r="2" spans="1:10" ht="15" customHeight="1" x14ac:dyDescent="0.25">
      <c r="A2" s="54">
        <v>1</v>
      </c>
      <c r="B2" s="54" t="s">
        <v>172</v>
      </c>
      <c r="C2" s="54" t="s">
        <v>308</v>
      </c>
      <c r="D2" s="54" t="s">
        <v>309</v>
      </c>
      <c r="E2" s="69" t="s">
        <v>310</v>
      </c>
      <c r="F2" s="70" t="s">
        <v>311</v>
      </c>
      <c r="G2" s="71" t="s">
        <v>312</v>
      </c>
      <c r="H2" s="71" t="s">
        <v>313</v>
      </c>
      <c r="I2" s="71" t="s">
        <v>314</v>
      </c>
      <c r="J2" s="71" t="s">
        <v>315</v>
      </c>
    </row>
    <row r="3" spans="1:10" ht="15" customHeight="1" x14ac:dyDescent="0.25">
      <c r="A3" s="54">
        <v>2</v>
      </c>
      <c r="B3" s="54" t="s">
        <v>192</v>
      </c>
      <c r="C3" s="54" t="s">
        <v>316</v>
      </c>
      <c r="D3" s="54" t="s">
        <v>309</v>
      </c>
      <c r="E3" s="69" t="s">
        <v>317</v>
      </c>
      <c r="F3" s="70" t="s">
        <v>30</v>
      </c>
      <c r="G3" s="71" t="s">
        <v>318</v>
      </c>
      <c r="I3" t="s">
        <v>319</v>
      </c>
      <c r="J3" t="s">
        <v>320</v>
      </c>
    </row>
    <row r="4" spans="1:10" ht="15" customHeight="1" x14ac:dyDescent="0.25">
      <c r="A4" s="54">
        <v>3</v>
      </c>
      <c r="B4" s="54" t="s">
        <v>208</v>
      </c>
      <c r="C4" s="54" t="s">
        <v>321</v>
      </c>
      <c r="D4" s="54"/>
      <c r="E4" s="69"/>
      <c r="F4" s="70"/>
      <c r="J4" t="s">
        <v>322</v>
      </c>
    </row>
    <row r="5" spans="1:10" ht="15" customHeight="1" x14ac:dyDescent="0.25">
      <c r="A5" s="54">
        <v>4</v>
      </c>
      <c r="B5" s="54" t="s">
        <v>223</v>
      </c>
      <c r="C5" s="54" t="s">
        <v>323</v>
      </c>
      <c r="D5" s="54"/>
      <c r="E5" s="69" t="s">
        <v>324</v>
      </c>
      <c r="F5" s="70" t="s">
        <v>308</v>
      </c>
      <c r="G5" s="71" t="s">
        <v>325</v>
      </c>
      <c r="H5" s="71" t="s">
        <v>326</v>
      </c>
      <c r="J5" t="s">
        <v>327</v>
      </c>
    </row>
    <row r="6" spans="1:10" ht="15" customHeight="1" x14ac:dyDescent="0.25">
      <c r="A6" s="54">
        <v>5</v>
      </c>
      <c r="B6" s="54" t="s">
        <v>238</v>
      </c>
      <c r="C6" s="54" t="s">
        <v>310</v>
      </c>
      <c r="D6" s="54" t="s">
        <v>309</v>
      </c>
      <c r="E6" s="69"/>
      <c r="F6" s="70"/>
      <c r="I6" t="s">
        <v>328</v>
      </c>
      <c r="J6" t="s">
        <v>329</v>
      </c>
    </row>
    <row r="7" spans="1:10" ht="15" customHeight="1" x14ac:dyDescent="0.25">
      <c r="A7" s="54">
        <v>6</v>
      </c>
      <c r="B7" s="54" t="s">
        <v>247</v>
      </c>
      <c r="C7" s="54" t="s">
        <v>321</v>
      </c>
      <c r="D7" s="54" t="s">
        <v>309</v>
      </c>
      <c r="E7" s="69" t="s">
        <v>321</v>
      </c>
      <c r="F7" s="70" t="s">
        <v>316</v>
      </c>
      <c r="G7" s="71" t="s">
        <v>330</v>
      </c>
      <c r="H7" s="71" t="s">
        <v>331</v>
      </c>
      <c r="I7" s="71" t="s">
        <v>332</v>
      </c>
      <c r="J7" s="71" t="s">
        <v>333</v>
      </c>
    </row>
    <row r="8" spans="1:10" ht="15" customHeight="1" x14ac:dyDescent="0.25">
      <c r="A8" s="54">
        <v>7</v>
      </c>
      <c r="B8" s="54" t="s">
        <v>255</v>
      </c>
      <c r="C8" s="54" t="s">
        <v>316</v>
      </c>
      <c r="D8" s="54" t="s">
        <v>309</v>
      </c>
      <c r="E8" s="69" t="s">
        <v>311</v>
      </c>
      <c r="F8" s="70" t="s">
        <v>310</v>
      </c>
      <c r="G8" t="s">
        <v>313</v>
      </c>
      <c r="H8" t="s">
        <v>312</v>
      </c>
      <c r="I8" t="s">
        <v>334</v>
      </c>
      <c r="J8" t="s">
        <v>335</v>
      </c>
    </row>
    <row r="9" spans="1:10" ht="15" customHeight="1" x14ac:dyDescent="0.25">
      <c r="A9" s="54">
        <v>8</v>
      </c>
      <c r="B9" s="54" t="s">
        <v>262</v>
      </c>
      <c r="C9" s="54" t="s">
        <v>308</v>
      </c>
      <c r="D9" s="54"/>
      <c r="E9" s="69" t="s">
        <v>30</v>
      </c>
      <c r="F9" s="70" t="s">
        <v>317</v>
      </c>
      <c r="H9" t="s">
        <v>318</v>
      </c>
      <c r="J9" t="s">
        <v>336</v>
      </c>
    </row>
    <row r="10" spans="1:10" ht="15" customHeight="1" x14ac:dyDescent="0.25">
      <c r="A10" s="54">
        <v>9</v>
      </c>
      <c r="B10" s="54" t="s">
        <v>270</v>
      </c>
      <c r="C10" s="54" t="s">
        <v>324</v>
      </c>
      <c r="D10" s="54" t="s">
        <v>309</v>
      </c>
      <c r="E10" s="69"/>
      <c r="F10" s="70"/>
      <c r="I10" t="s">
        <v>337</v>
      </c>
      <c r="J10" t="s">
        <v>338</v>
      </c>
    </row>
    <row r="11" spans="1:10" ht="15" customHeight="1" x14ac:dyDescent="0.25">
      <c r="A11" s="54">
        <v>10</v>
      </c>
      <c r="B11" s="54" t="s">
        <v>278</v>
      </c>
      <c r="C11" s="54" t="s">
        <v>311</v>
      </c>
      <c r="D11" s="54"/>
      <c r="E11" s="69" t="s">
        <v>308</v>
      </c>
      <c r="F11" s="70" t="s">
        <v>324</v>
      </c>
      <c r="G11" s="71" t="s">
        <v>326</v>
      </c>
      <c r="H11" t="s">
        <v>325</v>
      </c>
      <c r="J11" t="s">
        <v>339</v>
      </c>
    </row>
    <row r="12" spans="1:10" ht="15" customHeight="1" x14ac:dyDescent="0.25">
      <c r="A12" s="54">
        <v>11</v>
      </c>
      <c r="B12" s="54" t="s">
        <v>286</v>
      </c>
      <c r="C12" s="54" t="s">
        <v>311</v>
      </c>
      <c r="D12" s="54" t="s">
        <v>309</v>
      </c>
      <c r="E12" s="69"/>
      <c r="F12" s="70"/>
      <c r="I12" t="s">
        <v>340</v>
      </c>
      <c r="J12" t="s">
        <v>341</v>
      </c>
    </row>
    <row r="13" spans="1:10" ht="15" customHeight="1" x14ac:dyDescent="0.25">
      <c r="A13" s="54">
        <v>12</v>
      </c>
      <c r="B13" s="54" t="s">
        <v>293</v>
      </c>
      <c r="C13" s="54" t="s">
        <v>324</v>
      </c>
      <c r="D13" s="54"/>
      <c r="E13" s="69" t="s">
        <v>316</v>
      </c>
      <c r="F13" s="70" t="s">
        <v>321</v>
      </c>
      <c r="G13" t="s">
        <v>331</v>
      </c>
      <c r="H13" t="s">
        <v>330</v>
      </c>
      <c r="J13" t="s">
        <v>342</v>
      </c>
    </row>
    <row r="16" spans="1:10" ht="15.75" customHeight="1" x14ac:dyDescent="0.25">
      <c r="A16" s="72" t="s">
        <v>343</v>
      </c>
    </row>
    <row r="17" spans="1:5" ht="15" customHeight="1" x14ac:dyDescent="0.25">
      <c r="A17" s="73" t="s">
        <v>344</v>
      </c>
      <c r="B17" s="73" t="s">
        <v>345</v>
      </c>
      <c r="C17" s="73" t="s">
        <v>161</v>
      </c>
      <c r="D17" s="73" t="s">
        <v>346</v>
      </c>
    </row>
    <row r="18" spans="1:5" ht="15" customHeight="1" x14ac:dyDescent="0.25">
      <c r="A18" t="s">
        <v>347</v>
      </c>
      <c r="B18" t="s">
        <v>348</v>
      </c>
      <c r="C18" t="s">
        <v>349</v>
      </c>
      <c r="D18" s="74">
        <v>1</v>
      </c>
    </row>
    <row r="19" spans="1:5" ht="15" customHeight="1" x14ac:dyDescent="0.25">
      <c r="A19" t="s">
        <v>350</v>
      </c>
      <c r="B19" t="s">
        <v>351</v>
      </c>
      <c r="C19" t="s">
        <v>352</v>
      </c>
      <c r="D19" s="74">
        <v>0.75</v>
      </c>
    </row>
    <row r="20" spans="1:5" ht="15" customHeight="1" x14ac:dyDescent="0.25">
      <c r="A20" t="s">
        <v>353</v>
      </c>
      <c r="B20" t="s">
        <v>354</v>
      </c>
      <c r="C20" t="s">
        <v>355</v>
      </c>
      <c r="D20" s="74">
        <v>0.5</v>
      </c>
    </row>
    <row r="21" spans="1:5" ht="15" customHeight="1" x14ac:dyDescent="0.25">
      <c r="A21" t="s">
        <v>356</v>
      </c>
      <c r="B21" t="s">
        <v>357</v>
      </c>
      <c r="C21" t="s">
        <v>358</v>
      </c>
      <c r="D21" t="s">
        <v>359</v>
      </c>
    </row>
    <row r="22" spans="1:5" ht="15" customHeight="1" x14ac:dyDescent="0.25">
      <c r="A22" t="s">
        <v>360</v>
      </c>
      <c r="B22" t="s">
        <v>357</v>
      </c>
      <c r="C22" t="s">
        <v>361</v>
      </c>
      <c r="D22" t="s">
        <v>359</v>
      </c>
    </row>
    <row r="23" spans="1:5" ht="15" customHeight="1" x14ac:dyDescent="0.25">
      <c r="A23" t="s">
        <v>362</v>
      </c>
      <c r="B23" t="s">
        <v>357</v>
      </c>
      <c r="C23" t="s">
        <v>363</v>
      </c>
      <c r="D23" t="s">
        <v>364</v>
      </c>
    </row>
    <row r="24" spans="1:5" ht="15" customHeight="1" x14ac:dyDescent="0.25">
      <c r="A24" t="s">
        <v>365</v>
      </c>
      <c r="B24" t="s">
        <v>366</v>
      </c>
      <c r="C24" t="s">
        <v>367</v>
      </c>
      <c r="D24" t="s">
        <v>368</v>
      </c>
    </row>
    <row r="26" spans="1:5" ht="15.75" customHeight="1" x14ac:dyDescent="0.25">
      <c r="A26" s="72" t="s">
        <v>369</v>
      </c>
    </row>
    <row r="27" spans="1:5" ht="15" customHeight="1" x14ac:dyDescent="0.25">
      <c r="A27" t="s">
        <v>370</v>
      </c>
    </row>
    <row r="29" spans="1:5" ht="15" customHeight="1" x14ac:dyDescent="0.25">
      <c r="A29" s="73" t="s">
        <v>371</v>
      </c>
    </row>
    <row r="30" spans="1:5" ht="15" customHeight="1" x14ac:dyDescent="0.25">
      <c r="A30" s="60" t="s">
        <v>372</v>
      </c>
      <c r="B30" s="60" t="s">
        <v>373</v>
      </c>
      <c r="C30" s="60" t="s">
        <v>374</v>
      </c>
      <c r="D30" s="60" t="s">
        <v>345</v>
      </c>
      <c r="E30" s="60" t="s">
        <v>375</v>
      </c>
    </row>
    <row r="31" spans="1:5" ht="15" customHeight="1" x14ac:dyDescent="0.25">
      <c r="A31">
        <v>1</v>
      </c>
      <c r="B31" t="s">
        <v>347</v>
      </c>
      <c r="C31" t="s">
        <v>376</v>
      </c>
      <c r="D31" t="s">
        <v>377</v>
      </c>
      <c r="E31" s="74">
        <v>1</v>
      </c>
    </row>
    <row r="32" spans="1:5" ht="15" customHeight="1" x14ac:dyDescent="0.25">
      <c r="A32">
        <v>2</v>
      </c>
      <c r="B32" t="s">
        <v>350</v>
      </c>
      <c r="C32" t="s">
        <v>352</v>
      </c>
      <c r="D32" t="s">
        <v>378</v>
      </c>
      <c r="E32" s="74">
        <v>0.75</v>
      </c>
    </row>
    <row r="33" spans="1:5" ht="15" customHeight="1" x14ac:dyDescent="0.25">
      <c r="A33">
        <v>3</v>
      </c>
      <c r="B33" t="s">
        <v>307</v>
      </c>
      <c r="C33" t="s">
        <v>379</v>
      </c>
      <c r="D33" t="s">
        <v>222</v>
      </c>
      <c r="E33" s="74">
        <v>0.5</v>
      </c>
    </row>
    <row r="34" spans="1:5" ht="15" customHeight="1" x14ac:dyDescent="0.25">
      <c r="A34">
        <v>4</v>
      </c>
      <c r="B34" t="s">
        <v>356</v>
      </c>
      <c r="C34" t="s">
        <v>380</v>
      </c>
      <c r="D34" t="s">
        <v>357</v>
      </c>
      <c r="E34" s="74">
        <v>0.25</v>
      </c>
    </row>
    <row r="35" spans="1:5" ht="15" customHeight="1" x14ac:dyDescent="0.25">
      <c r="A35">
        <v>5</v>
      </c>
      <c r="B35" t="s">
        <v>360</v>
      </c>
      <c r="C35" t="s">
        <v>357</v>
      </c>
      <c r="D35" t="s">
        <v>357</v>
      </c>
      <c r="E35" s="74">
        <v>0.125</v>
      </c>
    </row>
    <row r="36" spans="1:5" ht="15" customHeight="1" x14ac:dyDescent="0.25">
      <c r="A36">
        <v>6</v>
      </c>
      <c r="B36" t="s">
        <v>362</v>
      </c>
      <c r="C36" t="s">
        <v>381</v>
      </c>
      <c r="D36" t="s">
        <v>357</v>
      </c>
      <c r="E36" s="74">
        <v>0</v>
      </c>
    </row>
    <row r="37" spans="1:5" ht="15" customHeight="1" x14ac:dyDescent="0.25">
      <c r="A37">
        <v>7</v>
      </c>
      <c r="B37" t="s">
        <v>365</v>
      </c>
      <c r="C37" t="s">
        <v>382</v>
      </c>
      <c r="D37" t="s">
        <v>383</v>
      </c>
      <c r="E37" s="74">
        <v>0</v>
      </c>
    </row>
    <row r="39" spans="1:5" ht="15" customHeight="1" x14ac:dyDescent="0.25">
      <c r="A39" s="75" t="s">
        <v>384</v>
      </c>
    </row>
    <row r="41" spans="1:5" ht="15" customHeight="1" x14ac:dyDescent="0.25">
      <c r="A41" s="73" t="s">
        <v>385</v>
      </c>
    </row>
    <row r="42" spans="1:5" ht="15" customHeight="1" x14ac:dyDescent="0.25">
      <c r="A42" s="60" t="s">
        <v>372</v>
      </c>
      <c r="B42" s="60" t="s">
        <v>373</v>
      </c>
      <c r="C42" s="60" t="s">
        <v>374</v>
      </c>
      <c r="D42" s="60" t="s">
        <v>345</v>
      </c>
      <c r="E42" s="60" t="s">
        <v>375</v>
      </c>
    </row>
    <row r="43" spans="1:5" ht="15" customHeight="1" x14ac:dyDescent="0.25">
      <c r="A43">
        <v>1</v>
      </c>
      <c r="B43" t="s">
        <v>347</v>
      </c>
      <c r="C43" t="s">
        <v>376</v>
      </c>
      <c r="D43" t="s">
        <v>386</v>
      </c>
      <c r="E43" s="74">
        <v>1</v>
      </c>
    </row>
    <row r="44" spans="1:5" ht="15" customHeight="1" x14ac:dyDescent="0.25">
      <c r="A44">
        <v>2</v>
      </c>
      <c r="B44" t="s">
        <v>350</v>
      </c>
      <c r="C44" t="s">
        <v>352</v>
      </c>
      <c r="D44" t="s">
        <v>387</v>
      </c>
      <c r="E44" s="74">
        <v>0.75</v>
      </c>
    </row>
    <row r="45" spans="1:5" ht="15" customHeight="1" x14ac:dyDescent="0.25">
      <c r="A45">
        <v>3</v>
      </c>
      <c r="B45" t="s">
        <v>307</v>
      </c>
      <c r="C45" t="s">
        <v>379</v>
      </c>
      <c r="D45" t="s">
        <v>388</v>
      </c>
      <c r="E45" s="74">
        <v>0.5</v>
      </c>
    </row>
    <row r="46" spans="1:5" ht="15" customHeight="1" x14ac:dyDescent="0.25">
      <c r="A46">
        <v>4</v>
      </c>
      <c r="B46" t="s">
        <v>356</v>
      </c>
      <c r="C46" t="s">
        <v>380</v>
      </c>
      <c r="D46" t="s">
        <v>357</v>
      </c>
      <c r="E46" s="74">
        <v>0.25</v>
      </c>
    </row>
    <row r="47" spans="1:5" ht="15" customHeight="1" x14ac:dyDescent="0.25">
      <c r="A47">
        <v>5</v>
      </c>
      <c r="B47" t="s">
        <v>360</v>
      </c>
      <c r="C47" t="s">
        <v>357</v>
      </c>
      <c r="D47" t="s">
        <v>357</v>
      </c>
      <c r="E47" s="74">
        <v>0.125</v>
      </c>
    </row>
    <row r="48" spans="1:5" ht="15" customHeight="1" x14ac:dyDescent="0.25">
      <c r="A48">
        <v>6</v>
      </c>
      <c r="B48" t="s">
        <v>362</v>
      </c>
      <c r="C48" t="s">
        <v>381</v>
      </c>
      <c r="D48" t="s">
        <v>357</v>
      </c>
      <c r="E48" s="74">
        <v>0</v>
      </c>
    </row>
    <row r="49" spans="1:5" ht="15" customHeight="1" x14ac:dyDescent="0.25">
      <c r="A49">
        <v>7</v>
      </c>
      <c r="B49" t="s">
        <v>365</v>
      </c>
      <c r="C49" t="s">
        <v>382</v>
      </c>
      <c r="D49" t="s">
        <v>389</v>
      </c>
      <c r="E49" s="74">
        <v>0</v>
      </c>
    </row>
    <row r="51" spans="1:5" ht="15" customHeight="1" x14ac:dyDescent="0.25">
      <c r="A51" s="73" t="s">
        <v>390</v>
      </c>
    </row>
    <row r="52" spans="1:5" ht="15" customHeight="1" x14ac:dyDescent="0.25">
      <c r="A52" s="60" t="s">
        <v>372</v>
      </c>
      <c r="B52" s="60" t="s">
        <v>373</v>
      </c>
      <c r="C52" s="60" t="s">
        <v>374</v>
      </c>
      <c r="D52" s="60" t="s">
        <v>345</v>
      </c>
      <c r="E52" s="60" t="s">
        <v>375</v>
      </c>
    </row>
    <row r="53" spans="1:5" ht="15" customHeight="1" x14ac:dyDescent="0.25">
      <c r="A53">
        <v>1</v>
      </c>
      <c r="B53" t="s">
        <v>347</v>
      </c>
      <c r="C53" t="s">
        <v>376</v>
      </c>
      <c r="D53" t="s">
        <v>391</v>
      </c>
      <c r="E53" s="74">
        <v>1</v>
      </c>
    </row>
    <row r="54" spans="1:5" ht="15" customHeight="1" x14ac:dyDescent="0.25">
      <c r="A54">
        <v>2</v>
      </c>
      <c r="B54" t="s">
        <v>350</v>
      </c>
      <c r="C54" t="s">
        <v>352</v>
      </c>
      <c r="D54" t="s">
        <v>392</v>
      </c>
      <c r="E54" s="74">
        <v>0.75</v>
      </c>
    </row>
    <row r="55" spans="1:5" ht="15" customHeight="1" x14ac:dyDescent="0.25">
      <c r="A55">
        <v>3</v>
      </c>
      <c r="B55" t="s">
        <v>307</v>
      </c>
      <c r="C55" t="s">
        <v>379</v>
      </c>
      <c r="D55" t="s">
        <v>393</v>
      </c>
      <c r="E55" s="74">
        <v>0.5</v>
      </c>
    </row>
    <row r="56" spans="1:5" ht="15" customHeight="1" x14ac:dyDescent="0.25">
      <c r="A56">
        <v>4</v>
      </c>
      <c r="B56" t="s">
        <v>356</v>
      </c>
      <c r="C56" t="s">
        <v>380</v>
      </c>
      <c r="D56" t="s">
        <v>357</v>
      </c>
      <c r="E56" s="74">
        <v>0.25</v>
      </c>
    </row>
    <row r="57" spans="1:5" ht="15" customHeight="1" x14ac:dyDescent="0.25">
      <c r="A57">
        <v>5</v>
      </c>
      <c r="B57" t="s">
        <v>360</v>
      </c>
      <c r="C57" t="s">
        <v>357</v>
      </c>
      <c r="D57" t="s">
        <v>357</v>
      </c>
      <c r="E57" s="74">
        <v>0.125</v>
      </c>
    </row>
    <row r="58" spans="1:5" ht="15" customHeight="1" x14ac:dyDescent="0.25">
      <c r="A58">
        <v>6</v>
      </c>
      <c r="B58" t="s">
        <v>362</v>
      </c>
      <c r="C58" t="s">
        <v>381</v>
      </c>
      <c r="D58" t="s">
        <v>357</v>
      </c>
      <c r="E58" s="74">
        <v>0</v>
      </c>
    </row>
    <row r="59" spans="1:5" ht="15" customHeight="1" x14ac:dyDescent="0.25">
      <c r="A59">
        <v>7</v>
      </c>
      <c r="B59" t="s">
        <v>365</v>
      </c>
      <c r="C59" t="s">
        <v>382</v>
      </c>
      <c r="D59" t="s">
        <v>394</v>
      </c>
      <c r="E59" s="74">
        <v>0</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0"/>
  <sheetViews>
    <sheetView topLeftCell="B42" zoomScaleNormal="100" workbookViewId="0">
      <selection activeCell="F53" sqref="F53"/>
    </sheetView>
  </sheetViews>
  <sheetFormatPr defaultColWidth="8.5703125" defaultRowHeight="15" x14ac:dyDescent="0.25"/>
  <cols>
    <col min="1" max="1" width="88.85546875" customWidth="1"/>
    <col min="2" max="2" width="68.7109375" customWidth="1"/>
    <col min="3" max="10" width="27.5703125" customWidth="1"/>
  </cols>
  <sheetData>
    <row r="1" spans="1:10" ht="18.75" customHeight="1" x14ac:dyDescent="0.3">
      <c r="A1" s="76" t="s">
        <v>395</v>
      </c>
    </row>
    <row r="2" spans="1:10" ht="15" customHeight="1" x14ac:dyDescent="0.25">
      <c r="A2" s="77" t="s">
        <v>396</v>
      </c>
    </row>
    <row r="4" spans="1:10" ht="15" customHeight="1" x14ac:dyDescent="0.25">
      <c r="A4" s="78" t="s">
        <v>40</v>
      </c>
      <c r="B4" s="79" t="s">
        <v>397</v>
      </c>
      <c r="C4" s="79" t="s">
        <v>398</v>
      </c>
      <c r="D4" s="79" t="s">
        <v>399</v>
      </c>
      <c r="E4" s="79" t="s">
        <v>400</v>
      </c>
      <c r="F4" s="79" t="s">
        <v>401</v>
      </c>
      <c r="G4" s="79" t="s">
        <v>402</v>
      </c>
      <c r="H4" s="79" t="s">
        <v>403</v>
      </c>
      <c r="I4" s="79" t="s">
        <v>404</v>
      </c>
      <c r="J4" s="79" t="s">
        <v>405</v>
      </c>
    </row>
    <row r="5" spans="1:10" ht="15" customHeight="1" x14ac:dyDescent="0.25">
      <c r="A5" s="34"/>
      <c r="B5" s="34"/>
      <c r="C5" s="34"/>
      <c r="D5" s="34"/>
      <c r="E5" s="34"/>
      <c r="F5" s="34"/>
      <c r="G5" s="34"/>
      <c r="H5" s="34"/>
      <c r="I5" s="34"/>
      <c r="J5" s="34"/>
    </row>
    <row r="6" spans="1:10" ht="15" customHeight="1" x14ac:dyDescent="0.25">
      <c r="A6" s="80" t="s">
        <v>406</v>
      </c>
      <c r="B6" s="34"/>
      <c r="C6" s="34"/>
      <c r="D6" s="34"/>
      <c r="E6" s="34"/>
      <c r="F6" s="34"/>
      <c r="G6" s="34"/>
      <c r="H6" s="34"/>
      <c r="I6" s="34"/>
      <c r="J6" s="34"/>
    </row>
    <row r="7" spans="1:10" ht="15" customHeight="1" x14ac:dyDescent="0.25">
      <c r="A7" s="81" t="s">
        <v>161</v>
      </c>
      <c r="B7" s="34" t="s">
        <v>407</v>
      </c>
      <c r="C7" s="34" t="s">
        <v>408</v>
      </c>
      <c r="D7" s="34" t="s">
        <v>409</v>
      </c>
      <c r="E7" s="34" t="s">
        <v>410</v>
      </c>
      <c r="F7" s="34" t="s">
        <v>411</v>
      </c>
      <c r="G7" s="34" t="s">
        <v>412</v>
      </c>
      <c r="H7" s="34" t="s">
        <v>413</v>
      </c>
      <c r="I7" s="34" t="s">
        <v>29</v>
      </c>
      <c r="J7" s="34" t="s">
        <v>30</v>
      </c>
    </row>
    <row r="8" spans="1:10" ht="15" customHeight="1" x14ac:dyDescent="0.25">
      <c r="A8" s="81" t="s">
        <v>414</v>
      </c>
      <c r="B8" s="34" t="s">
        <v>415</v>
      </c>
      <c r="C8" s="34" t="s">
        <v>416</v>
      </c>
      <c r="D8" s="34" t="s">
        <v>417</v>
      </c>
      <c r="E8" s="34" t="s">
        <v>418</v>
      </c>
      <c r="F8" s="34" t="s">
        <v>419</v>
      </c>
      <c r="G8" s="34" t="s">
        <v>420</v>
      </c>
      <c r="H8" s="34" t="s">
        <v>421</v>
      </c>
      <c r="I8" s="34" t="s">
        <v>422</v>
      </c>
      <c r="J8" s="34" t="s">
        <v>423</v>
      </c>
    </row>
    <row r="9" spans="1:10" ht="30" customHeight="1" x14ac:dyDescent="0.25">
      <c r="A9" s="81" t="s">
        <v>162</v>
      </c>
      <c r="B9" s="34" t="s">
        <v>310</v>
      </c>
      <c r="C9" s="34" t="s">
        <v>323</v>
      </c>
      <c r="D9" s="34" t="s">
        <v>308</v>
      </c>
      <c r="E9" s="34" t="s">
        <v>321</v>
      </c>
      <c r="F9" s="34" t="s">
        <v>324</v>
      </c>
      <c r="G9" s="34" t="s">
        <v>316</v>
      </c>
      <c r="H9" s="34" t="s">
        <v>311</v>
      </c>
      <c r="I9" s="34" t="s">
        <v>424</v>
      </c>
      <c r="J9" s="34" t="s">
        <v>425</v>
      </c>
    </row>
    <row r="10" spans="1:10" ht="15" customHeight="1" x14ac:dyDescent="0.25">
      <c r="A10" s="81" t="s">
        <v>426</v>
      </c>
      <c r="B10" s="34" t="s">
        <v>427</v>
      </c>
      <c r="C10" s="34" t="s">
        <v>427</v>
      </c>
      <c r="D10" s="34" t="s">
        <v>428</v>
      </c>
      <c r="E10" s="34" t="s">
        <v>427</v>
      </c>
      <c r="F10" s="34" t="s">
        <v>428</v>
      </c>
      <c r="G10" s="34" t="s">
        <v>427</v>
      </c>
      <c r="H10" s="34" t="s">
        <v>428</v>
      </c>
      <c r="I10" s="34" t="s">
        <v>429</v>
      </c>
      <c r="J10" s="34" t="s">
        <v>429</v>
      </c>
    </row>
    <row r="11" spans="1:10" ht="15" customHeight="1" x14ac:dyDescent="0.25">
      <c r="A11" s="34"/>
      <c r="B11" s="34"/>
      <c r="C11" s="34"/>
      <c r="D11" s="34"/>
      <c r="E11" s="34"/>
      <c r="F11" s="34"/>
      <c r="G11" s="34"/>
      <c r="H11" s="34"/>
      <c r="I11" s="34"/>
      <c r="J11" s="34"/>
    </row>
    <row r="12" spans="1:10" ht="15" customHeight="1" x14ac:dyDescent="0.25">
      <c r="A12" s="80" t="s">
        <v>430</v>
      </c>
      <c r="B12" s="34"/>
      <c r="C12" s="34"/>
      <c r="D12" s="34"/>
      <c r="E12" s="34"/>
      <c r="F12" s="34"/>
      <c r="G12" s="34"/>
      <c r="H12" s="34"/>
      <c r="I12" s="34"/>
      <c r="J12" s="34"/>
    </row>
    <row r="13" spans="1:10" ht="15" customHeight="1" x14ac:dyDescent="0.25">
      <c r="A13" s="81" t="s">
        <v>431</v>
      </c>
      <c r="B13" s="34" t="s">
        <v>432</v>
      </c>
      <c r="C13" s="34" t="s">
        <v>433</v>
      </c>
      <c r="D13" s="34" t="s">
        <v>434</v>
      </c>
      <c r="E13" s="34" t="s">
        <v>435</v>
      </c>
      <c r="F13" s="34" t="s">
        <v>436</v>
      </c>
      <c r="G13" s="34" t="s">
        <v>437</v>
      </c>
      <c r="H13" s="34" t="s">
        <v>438</v>
      </c>
      <c r="I13" s="34" t="s">
        <v>439</v>
      </c>
      <c r="J13" s="34" t="s">
        <v>439</v>
      </c>
    </row>
    <row r="14" spans="1:10" ht="15" customHeight="1" x14ac:dyDescent="0.25">
      <c r="A14" s="81" t="s">
        <v>440</v>
      </c>
      <c r="B14" s="34" t="s">
        <v>436</v>
      </c>
      <c r="C14" s="34" t="s">
        <v>441</v>
      </c>
      <c r="D14" s="34" t="s">
        <v>439</v>
      </c>
      <c r="E14" s="34" t="s">
        <v>442</v>
      </c>
      <c r="F14" s="34" t="s">
        <v>443</v>
      </c>
      <c r="G14" s="34" t="s">
        <v>444</v>
      </c>
      <c r="H14" s="34" t="s">
        <v>445</v>
      </c>
      <c r="I14" s="34" t="s">
        <v>446</v>
      </c>
      <c r="J14" s="34" t="s">
        <v>446</v>
      </c>
    </row>
    <row r="15" spans="1:10" ht="15" customHeight="1" x14ac:dyDescent="0.25">
      <c r="A15" s="81" t="s">
        <v>447</v>
      </c>
      <c r="B15" s="34" t="s">
        <v>448</v>
      </c>
      <c r="C15" s="34" t="s">
        <v>448</v>
      </c>
      <c r="D15" s="34" t="s">
        <v>449</v>
      </c>
      <c r="E15" s="34" t="s">
        <v>449</v>
      </c>
      <c r="F15" s="34" t="s">
        <v>449</v>
      </c>
      <c r="G15" s="34" t="s">
        <v>449</v>
      </c>
      <c r="H15" s="34" t="s">
        <v>449</v>
      </c>
      <c r="I15" s="34" t="s">
        <v>450</v>
      </c>
      <c r="J15" s="34" t="s">
        <v>450</v>
      </c>
    </row>
    <row r="16" spans="1:10" ht="30" customHeight="1" x14ac:dyDescent="0.25">
      <c r="A16" s="81" t="s">
        <v>451</v>
      </c>
      <c r="B16" s="34" t="s">
        <v>452</v>
      </c>
      <c r="C16" s="34" t="s">
        <v>452</v>
      </c>
      <c r="D16" s="34" t="s">
        <v>453</v>
      </c>
      <c r="E16" s="34" t="s">
        <v>454</v>
      </c>
      <c r="F16" s="34" t="s">
        <v>455</v>
      </c>
      <c r="G16" s="34" t="s">
        <v>452</v>
      </c>
      <c r="H16" s="34" t="s">
        <v>456</v>
      </c>
      <c r="I16" s="34" t="s">
        <v>457</v>
      </c>
      <c r="J16" s="34" t="s">
        <v>457</v>
      </c>
    </row>
    <row r="17" spans="1:10" ht="15" customHeight="1" x14ac:dyDescent="0.25">
      <c r="A17" s="34"/>
      <c r="B17" s="34"/>
      <c r="C17" s="34"/>
      <c r="D17" s="34"/>
      <c r="E17" s="34"/>
      <c r="F17" s="34"/>
      <c r="G17" s="34"/>
      <c r="H17" s="34"/>
      <c r="I17" s="34"/>
      <c r="J17" s="34"/>
    </row>
    <row r="18" spans="1:10" ht="15" customHeight="1" x14ac:dyDescent="0.25">
      <c r="A18" s="80" t="s">
        <v>458</v>
      </c>
      <c r="B18" s="34"/>
      <c r="C18" s="34"/>
      <c r="D18" s="34"/>
      <c r="E18" s="34"/>
      <c r="F18" s="34"/>
      <c r="G18" s="34"/>
      <c r="H18" s="34"/>
      <c r="I18" s="34"/>
      <c r="J18" s="34"/>
    </row>
    <row r="19" spans="1:10" ht="15" customHeight="1" x14ac:dyDescent="0.25">
      <c r="A19" s="81" t="s">
        <v>459</v>
      </c>
      <c r="B19" s="34" t="s">
        <v>171</v>
      </c>
      <c r="C19" s="34" t="s">
        <v>460</v>
      </c>
      <c r="D19" s="34" t="s">
        <v>277</v>
      </c>
      <c r="E19" s="34" t="s">
        <v>246</v>
      </c>
      <c r="F19" s="34" t="s">
        <v>222</v>
      </c>
      <c r="G19" s="34" t="s">
        <v>292</v>
      </c>
      <c r="H19" s="34" t="s">
        <v>254</v>
      </c>
      <c r="I19" s="34" t="s">
        <v>460</v>
      </c>
      <c r="J19" s="34" t="s">
        <v>261</v>
      </c>
    </row>
    <row r="20" spans="1:10" ht="15" customHeight="1" x14ac:dyDescent="0.25">
      <c r="A20" s="81" t="s">
        <v>304</v>
      </c>
      <c r="B20" s="34" t="s">
        <v>461</v>
      </c>
      <c r="C20" s="34" t="s">
        <v>377</v>
      </c>
      <c r="D20" s="34" t="s">
        <v>462</v>
      </c>
      <c r="E20" s="34" t="s">
        <v>463</v>
      </c>
      <c r="F20" s="34" t="s">
        <v>386</v>
      </c>
      <c r="G20" s="34" t="s">
        <v>391</v>
      </c>
      <c r="H20" s="34" t="s">
        <v>464</v>
      </c>
      <c r="I20" s="34" t="s">
        <v>457</v>
      </c>
      <c r="J20" s="34" t="s">
        <v>457</v>
      </c>
    </row>
    <row r="21" spans="1:10" ht="15" customHeight="1" x14ac:dyDescent="0.25">
      <c r="A21" s="81" t="s">
        <v>465</v>
      </c>
      <c r="B21" s="34" t="s">
        <v>254</v>
      </c>
      <c r="C21" s="34" t="s">
        <v>261</v>
      </c>
      <c r="D21" s="34" t="s">
        <v>222</v>
      </c>
      <c r="E21" s="34" t="s">
        <v>292</v>
      </c>
      <c r="F21" s="34" t="s">
        <v>277</v>
      </c>
      <c r="G21" s="34" t="s">
        <v>246</v>
      </c>
      <c r="H21" s="34" t="s">
        <v>171</v>
      </c>
      <c r="I21" s="34" t="s">
        <v>261</v>
      </c>
      <c r="J21" s="34" t="s">
        <v>460</v>
      </c>
    </row>
    <row r="22" spans="1:10" ht="15" customHeight="1" x14ac:dyDescent="0.25">
      <c r="A22" s="81" t="s">
        <v>305</v>
      </c>
      <c r="B22" s="34" t="s">
        <v>466</v>
      </c>
      <c r="C22" s="34" t="s">
        <v>383</v>
      </c>
      <c r="D22" s="34" t="s">
        <v>467</v>
      </c>
      <c r="E22" s="34" t="s">
        <v>468</v>
      </c>
      <c r="F22" s="34" t="s">
        <v>389</v>
      </c>
      <c r="G22" s="34" t="s">
        <v>394</v>
      </c>
      <c r="H22" s="34" t="s">
        <v>469</v>
      </c>
      <c r="I22" s="34" t="s">
        <v>457</v>
      </c>
      <c r="J22" s="34" t="s">
        <v>457</v>
      </c>
    </row>
    <row r="23" spans="1:10" ht="15" customHeight="1" x14ac:dyDescent="0.25">
      <c r="A23" s="81" t="s">
        <v>306</v>
      </c>
      <c r="B23" s="34" t="s">
        <v>351</v>
      </c>
      <c r="C23" s="34" t="s">
        <v>378</v>
      </c>
      <c r="D23" s="34" t="s">
        <v>470</v>
      </c>
      <c r="E23" s="34" t="s">
        <v>471</v>
      </c>
      <c r="F23" s="34" t="s">
        <v>387</v>
      </c>
      <c r="G23" s="34" t="s">
        <v>392</v>
      </c>
      <c r="H23" s="34" t="s">
        <v>472</v>
      </c>
      <c r="I23" s="34" t="s">
        <v>473</v>
      </c>
      <c r="J23" s="34" t="s">
        <v>473</v>
      </c>
    </row>
    <row r="24" spans="1:10" ht="15" customHeight="1" x14ac:dyDescent="0.25">
      <c r="A24" s="81" t="s">
        <v>307</v>
      </c>
      <c r="B24" s="34" t="s">
        <v>237</v>
      </c>
      <c r="C24" s="34" t="s">
        <v>222</v>
      </c>
      <c r="D24" s="34" t="s">
        <v>474</v>
      </c>
      <c r="E24" s="34" t="s">
        <v>475</v>
      </c>
      <c r="F24" s="34" t="s">
        <v>476</v>
      </c>
      <c r="G24" s="34" t="s">
        <v>477</v>
      </c>
      <c r="H24" s="34" t="s">
        <v>478</v>
      </c>
      <c r="I24" s="34" t="s">
        <v>479</v>
      </c>
      <c r="J24" s="34" t="s">
        <v>479</v>
      </c>
    </row>
    <row r="25" spans="1:10" ht="15" customHeight="1" x14ac:dyDescent="0.25">
      <c r="A25" s="34"/>
      <c r="B25" s="34"/>
      <c r="C25" s="34"/>
      <c r="D25" s="34"/>
      <c r="E25" s="34"/>
      <c r="F25" s="34"/>
      <c r="G25" s="34"/>
      <c r="H25" s="34"/>
      <c r="I25" s="34"/>
      <c r="J25" s="34"/>
    </row>
    <row r="26" spans="1:10" ht="15" customHeight="1" x14ac:dyDescent="0.25">
      <c r="A26" s="80" t="s">
        <v>480</v>
      </c>
      <c r="B26" s="34"/>
      <c r="C26" s="34"/>
      <c r="D26" s="34"/>
      <c r="E26" s="34"/>
      <c r="F26" s="34"/>
      <c r="G26" s="34"/>
      <c r="H26" s="34"/>
      <c r="I26" s="34"/>
      <c r="J26" s="34"/>
    </row>
    <row r="27" spans="1:10" ht="45" customHeight="1" x14ac:dyDescent="0.25">
      <c r="A27" s="81" t="s">
        <v>481</v>
      </c>
      <c r="B27" s="34" t="s">
        <v>482</v>
      </c>
      <c r="C27" s="34" t="s">
        <v>483</v>
      </c>
      <c r="D27" s="34" t="s">
        <v>484</v>
      </c>
      <c r="E27" s="34" t="s">
        <v>485</v>
      </c>
      <c r="F27" s="34" t="s">
        <v>486</v>
      </c>
      <c r="G27" s="34" t="s">
        <v>487</v>
      </c>
      <c r="H27" s="34" t="s">
        <v>488</v>
      </c>
      <c r="I27" s="34" t="s">
        <v>457</v>
      </c>
      <c r="J27" s="34" t="s">
        <v>457</v>
      </c>
    </row>
    <row r="28" spans="1:10" ht="45" customHeight="1" x14ac:dyDescent="0.25">
      <c r="A28" s="81" t="s">
        <v>489</v>
      </c>
      <c r="B28" s="34" t="s">
        <v>490</v>
      </c>
      <c r="C28" s="34" t="s">
        <v>491</v>
      </c>
      <c r="D28" s="34" t="s">
        <v>492</v>
      </c>
      <c r="E28" s="34" t="s">
        <v>493</v>
      </c>
      <c r="F28" s="34" t="s">
        <v>494</v>
      </c>
      <c r="G28" s="34" t="s">
        <v>495</v>
      </c>
      <c r="H28" s="34" t="s">
        <v>496</v>
      </c>
      <c r="I28" s="34" t="s">
        <v>457</v>
      </c>
      <c r="J28" s="34" t="s">
        <v>457</v>
      </c>
    </row>
    <row r="29" spans="1:10" ht="105" customHeight="1" x14ac:dyDescent="0.25">
      <c r="A29" s="81" t="s">
        <v>497</v>
      </c>
      <c r="B29" s="34" t="s">
        <v>498</v>
      </c>
      <c r="C29" s="34" t="s">
        <v>499</v>
      </c>
      <c r="D29" s="34" t="s">
        <v>500</v>
      </c>
      <c r="E29" s="34" t="s">
        <v>501</v>
      </c>
      <c r="F29" s="34" t="s">
        <v>502</v>
      </c>
      <c r="G29" s="34" t="s">
        <v>503</v>
      </c>
      <c r="H29" s="34" t="s">
        <v>504</v>
      </c>
      <c r="I29" s="34" t="s">
        <v>457</v>
      </c>
      <c r="J29" s="34" t="s">
        <v>457</v>
      </c>
    </row>
    <row r="30" spans="1:10" ht="75" customHeight="1" x14ac:dyDescent="0.25">
      <c r="A30" s="81" t="s">
        <v>505</v>
      </c>
      <c r="B30" s="34" t="s">
        <v>506</v>
      </c>
      <c r="C30" s="34" t="s">
        <v>507</v>
      </c>
      <c r="D30" s="34" t="s">
        <v>508</v>
      </c>
      <c r="E30" s="34" t="s">
        <v>509</v>
      </c>
      <c r="F30" s="34" t="s">
        <v>510</v>
      </c>
      <c r="G30" s="34" t="s">
        <v>511</v>
      </c>
      <c r="H30" s="34" t="s">
        <v>512</v>
      </c>
      <c r="I30" s="34" t="s">
        <v>457</v>
      </c>
      <c r="J30" s="34" t="s">
        <v>457</v>
      </c>
    </row>
    <row r="31" spans="1:10" ht="105" customHeight="1" x14ac:dyDescent="0.25">
      <c r="A31" s="81" t="s">
        <v>513</v>
      </c>
      <c r="B31" s="34" t="s">
        <v>514</v>
      </c>
      <c r="C31" s="34" t="s">
        <v>515</v>
      </c>
      <c r="D31" s="34" t="s">
        <v>516</v>
      </c>
      <c r="E31" s="34" t="s">
        <v>517</v>
      </c>
      <c r="F31" s="34" t="s">
        <v>518</v>
      </c>
      <c r="G31" s="34" t="s">
        <v>519</v>
      </c>
      <c r="H31" s="34" t="s">
        <v>520</v>
      </c>
      <c r="I31" s="34" t="s">
        <v>457</v>
      </c>
      <c r="J31" s="34" t="s">
        <v>457</v>
      </c>
    </row>
    <row r="32" spans="1:10" ht="45" customHeight="1" x14ac:dyDescent="0.25">
      <c r="A32" s="81" t="s">
        <v>521</v>
      </c>
      <c r="B32" s="34" t="s">
        <v>522</v>
      </c>
      <c r="C32" s="34" t="s">
        <v>523</v>
      </c>
      <c r="D32" s="34" t="s">
        <v>524</v>
      </c>
      <c r="E32" s="34" t="s">
        <v>525</v>
      </c>
      <c r="F32" s="34" t="s">
        <v>526</v>
      </c>
      <c r="G32" s="34" t="s">
        <v>527</v>
      </c>
      <c r="H32" s="34" t="s">
        <v>528</v>
      </c>
      <c r="I32" s="34" t="s">
        <v>457</v>
      </c>
      <c r="J32" s="34" t="s">
        <v>457</v>
      </c>
    </row>
    <row r="33" spans="1:10" ht="15" customHeight="1" x14ac:dyDescent="0.25">
      <c r="A33" s="81" t="s">
        <v>529</v>
      </c>
      <c r="B33" s="34" t="s">
        <v>530</v>
      </c>
      <c r="C33" s="34" t="s">
        <v>231</v>
      </c>
      <c r="D33" s="34" t="s">
        <v>531</v>
      </c>
      <c r="E33" s="34" t="s">
        <v>532</v>
      </c>
      <c r="F33" s="34" t="s">
        <v>532</v>
      </c>
      <c r="G33" s="34" t="s">
        <v>533</v>
      </c>
      <c r="H33" s="34" t="s">
        <v>201</v>
      </c>
      <c r="I33" s="34" t="s">
        <v>457</v>
      </c>
      <c r="J33" s="34" t="s">
        <v>457</v>
      </c>
    </row>
    <row r="34" spans="1:10" ht="60" customHeight="1" x14ac:dyDescent="0.25">
      <c r="A34" s="81" t="s">
        <v>534</v>
      </c>
      <c r="B34" s="34" t="s">
        <v>535</v>
      </c>
      <c r="C34" s="34" t="s">
        <v>536</v>
      </c>
      <c r="D34" s="34" t="s">
        <v>537</v>
      </c>
      <c r="E34" s="34" t="s">
        <v>538</v>
      </c>
      <c r="F34" s="34" t="s">
        <v>539</v>
      </c>
      <c r="G34" s="34" t="s">
        <v>540</v>
      </c>
      <c r="H34" s="34" t="s">
        <v>541</v>
      </c>
      <c r="I34" s="34" t="s">
        <v>457</v>
      </c>
      <c r="J34" s="34" t="s">
        <v>457</v>
      </c>
    </row>
    <row r="35" spans="1:10" ht="75" customHeight="1" x14ac:dyDescent="0.25">
      <c r="A35" s="81" t="s">
        <v>542</v>
      </c>
      <c r="B35" s="34" t="s">
        <v>543</v>
      </c>
      <c r="C35" s="34" t="s">
        <v>544</v>
      </c>
      <c r="D35" s="34" t="s">
        <v>545</v>
      </c>
      <c r="E35" s="34" t="s">
        <v>546</v>
      </c>
      <c r="F35" s="34" t="s">
        <v>547</v>
      </c>
      <c r="G35" s="34" t="s">
        <v>548</v>
      </c>
      <c r="H35" s="34" t="s">
        <v>549</v>
      </c>
      <c r="I35" s="34" t="s">
        <v>457</v>
      </c>
      <c r="J35" s="34" t="s">
        <v>457</v>
      </c>
    </row>
    <row r="36" spans="1:10" ht="15" customHeight="1" x14ac:dyDescent="0.25">
      <c r="A36" s="34"/>
      <c r="B36" s="34"/>
      <c r="C36" s="34"/>
      <c r="D36" s="34"/>
      <c r="E36" s="34"/>
      <c r="F36" s="34"/>
      <c r="G36" s="34"/>
      <c r="H36" s="34"/>
      <c r="I36" s="34"/>
      <c r="J36" s="34"/>
    </row>
    <row r="37" spans="1:10" ht="15" customHeight="1" x14ac:dyDescent="0.25">
      <c r="A37" s="80" t="s">
        <v>550</v>
      </c>
      <c r="B37" s="34"/>
      <c r="C37" s="34"/>
      <c r="D37" s="34"/>
      <c r="E37" s="34"/>
      <c r="F37" s="34"/>
      <c r="G37" s="34"/>
      <c r="H37" s="34"/>
      <c r="I37" s="34"/>
      <c r="J37" s="34"/>
    </row>
    <row r="38" spans="1:10" ht="15" customHeight="1" x14ac:dyDescent="0.25">
      <c r="A38" s="81" t="s">
        <v>551</v>
      </c>
      <c r="B38" s="34" t="s">
        <v>552</v>
      </c>
      <c r="C38" s="34" t="s">
        <v>553</v>
      </c>
      <c r="D38" s="34" t="s">
        <v>554</v>
      </c>
      <c r="E38" s="34" t="s">
        <v>555</v>
      </c>
      <c r="F38" s="34" t="s">
        <v>556</v>
      </c>
      <c r="G38" s="34" t="s">
        <v>557</v>
      </c>
      <c r="H38" s="34" t="s">
        <v>558</v>
      </c>
      <c r="I38" s="34" t="s">
        <v>457</v>
      </c>
      <c r="J38" s="34" t="s">
        <v>457</v>
      </c>
    </row>
    <row r="39" spans="1:10" ht="45" customHeight="1" x14ac:dyDescent="0.25">
      <c r="A39" s="81" t="s">
        <v>559</v>
      </c>
      <c r="B39" s="34" t="s">
        <v>560</v>
      </c>
      <c r="C39" s="34" t="s">
        <v>561</v>
      </c>
      <c r="D39" s="34" t="s">
        <v>562</v>
      </c>
      <c r="E39" s="34" t="s">
        <v>563</v>
      </c>
      <c r="F39" s="34" t="s">
        <v>564</v>
      </c>
      <c r="G39" s="34" t="s">
        <v>565</v>
      </c>
      <c r="H39" s="34" t="s">
        <v>566</v>
      </c>
      <c r="I39" s="34" t="s">
        <v>457</v>
      </c>
      <c r="J39" s="34" t="s">
        <v>457</v>
      </c>
    </row>
    <row r="40" spans="1:10" ht="15" customHeight="1" x14ac:dyDescent="0.25">
      <c r="A40" s="81" t="s">
        <v>567</v>
      </c>
      <c r="B40" s="34" t="s">
        <v>568</v>
      </c>
      <c r="C40" s="34" t="s">
        <v>569</v>
      </c>
      <c r="D40" s="34" t="s">
        <v>570</v>
      </c>
      <c r="E40" s="34" t="s">
        <v>569</v>
      </c>
      <c r="F40" s="34" t="s">
        <v>571</v>
      </c>
      <c r="G40" s="34" t="s">
        <v>572</v>
      </c>
      <c r="H40" s="34" t="s">
        <v>568</v>
      </c>
      <c r="I40" s="34" t="s">
        <v>457</v>
      </c>
      <c r="J40" s="34" t="s">
        <v>457</v>
      </c>
    </row>
    <row r="41" spans="1:10" ht="30" customHeight="1" x14ac:dyDescent="0.25">
      <c r="A41" s="81" t="s">
        <v>573</v>
      </c>
      <c r="B41" s="34" t="s">
        <v>574</v>
      </c>
      <c r="C41" s="34" t="s">
        <v>575</v>
      </c>
      <c r="D41" s="34" t="s">
        <v>576</v>
      </c>
      <c r="E41" s="34" t="s">
        <v>577</v>
      </c>
      <c r="F41" s="34" t="s">
        <v>578</v>
      </c>
      <c r="G41" s="34" t="s">
        <v>579</v>
      </c>
      <c r="H41" s="34" t="s">
        <v>580</v>
      </c>
      <c r="I41" s="34" t="s">
        <v>457</v>
      </c>
      <c r="J41" s="34" t="s">
        <v>457</v>
      </c>
    </row>
    <row r="42" spans="1:10" ht="15" customHeight="1" x14ac:dyDescent="0.25">
      <c r="A42" s="81" t="s">
        <v>581</v>
      </c>
      <c r="B42" s="34" t="s">
        <v>582</v>
      </c>
      <c r="C42" s="34" t="s">
        <v>583</v>
      </c>
      <c r="D42" s="34" t="s">
        <v>584</v>
      </c>
      <c r="E42" s="34" t="s">
        <v>585</v>
      </c>
      <c r="F42" s="34" t="s">
        <v>457</v>
      </c>
      <c r="G42" s="34" t="s">
        <v>457</v>
      </c>
      <c r="H42" s="34" t="s">
        <v>586</v>
      </c>
      <c r="I42" s="34" t="s">
        <v>457</v>
      </c>
      <c r="J42" s="34" t="s">
        <v>457</v>
      </c>
    </row>
    <row r="43" spans="1:10" ht="15" customHeight="1" x14ac:dyDescent="0.25">
      <c r="A43" s="81" t="s">
        <v>587</v>
      </c>
      <c r="B43" s="34">
        <v>1</v>
      </c>
      <c r="C43" s="34">
        <v>2</v>
      </c>
      <c r="D43" s="34">
        <v>9</v>
      </c>
      <c r="E43" s="34">
        <v>5</v>
      </c>
      <c r="F43" s="34">
        <v>3</v>
      </c>
      <c r="G43" s="34">
        <v>6</v>
      </c>
      <c r="H43" s="34" t="s">
        <v>588</v>
      </c>
      <c r="I43" s="34" t="s">
        <v>457</v>
      </c>
      <c r="J43" s="34" t="s">
        <v>457</v>
      </c>
    </row>
    <row r="44" spans="1:10" ht="45" customHeight="1" x14ac:dyDescent="0.25">
      <c r="A44" s="81" t="s">
        <v>589</v>
      </c>
      <c r="B44" s="34" t="s">
        <v>590</v>
      </c>
      <c r="C44" s="34" t="s">
        <v>591</v>
      </c>
      <c r="D44" s="34" t="s">
        <v>592</v>
      </c>
      <c r="E44" s="34" t="s">
        <v>593</v>
      </c>
      <c r="F44" s="34" t="s">
        <v>594</v>
      </c>
      <c r="G44" s="34" t="s">
        <v>595</v>
      </c>
      <c r="H44" s="34" t="s">
        <v>596</v>
      </c>
      <c r="I44" s="34" t="s">
        <v>457</v>
      </c>
      <c r="J44" s="34" t="s">
        <v>457</v>
      </c>
    </row>
    <row r="46" spans="1:10" ht="15" customHeight="1" x14ac:dyDescent="0.25">
      <c r="A46" s="82" t="s">
        <v>597</v>
      </c>
    </row>
    <row r="47" spans="1:10" ht="15" customHeight="1" x14ac:dyDescent="0.25">
      <c r="A47" s="81" t="s">
        <v>598</v>
      </c>
      <c r="C47" t="s">
        <v>599</v>
      </c>
      <c r="D47" t="s">
        <v>600</v>
      </c>
      <c r="E47" t="s">
        <v>601</v>
      </c>
      <c r="F47" t="s">
        <v>602</v>
      </c>
      <c r="G47" t="s">
        <v>603</v>
      </c>
      <c r="H47" t="s">
        <v>604</v>
      </c>
    </row>
    <row r="48" spans="1:10" ht="15" customHeight="1" x14ac:dyDescent="0.25">
      <c r="A48" s="81" t="s">
        <v>48</v>
      </c>
      <c r="C48" t="s">
        <v>605</v>
      </c>
      <c r="D48" t="s">
        <v>606</v>
      </c>
      <c r="E48" t="s">
        <v>607</v>
      </c>
      <c r="F48" t="s">
        <v>608</v>
      </c>
      <c r="G48" t="s">
        <v>605</v>
      </c>
      <c r="H48" t="s">
        <v>609</v>
      </c>
    </row>
    <row r="49" spans="1:8" ht="15" customHeight="1" x14ac:dyDescent="0.25">
      <c r="A49" s="81" t="s">
        <v>54</v>
      </c>
      <c r="C49" t="s">
        <v>610</v>
      </c>
      <c r="D49" t="s">
        <v>611</v>
      </c>
      <c r="E49" t="s">
        <v>612</v>
      </c>
      <c r="F49" t="s">
        <v>613</v>
      </c>
      <c r="G49" t="s">
        <v>614</v>
      </c>
      <c r="H49" t="s">
        <v>611</v>
      </c>
    </row>
    <row r="50" spans="1:8" ht="15" customHeight="1" x14ac:dyDescent="0.25">
      <c r="A50" s="81" t="s">
        <v>51</v>
      </c>
      <c r="C50" t="s">
        <v>197</v>
      </c>
      <c r="D50" t="s">
        <v>177</v>
      </c>
      <c r="E50" t="s">
        <v>197</v>
      </c>
      <c r="F50" t="s">
        <v>615</v>
      </c>
      <c r="G50" t="s">
        <v>226</v>
      </c>
      <c r="H50" t="s">
        <v>616</v>
      </c>
    </row>
    <row r="51" spans="1:8" ht="15" customHeight="1" x14ac:dyDescent="0.25">
      <c r="A51" s="81" t="s">
        <v>617</v>
      </c>
      <c r="C51" t="s">
        <v>202</v>
      </c>
      <c r="D51" t="s">
        <v>618</v>
      </c>
      <c r="E51" t="s">
        <v>217</v>
      </c>
      <c r="F51" t="s">
        <v>619</v>
      </c>
      <c r="G51" t="s">
        <v>620</v>
      </c>
      <c r="H51" t="s">
        <v>621</v>
      </c>
    </row>
    <row r="52" spans="1:8" ht="15" customHeight="1" x14ac:dyDescent="0.25">
      <c r="A52" s="81" t="s">
        <v>622</v>
      </c>
      <c r="C52" t="s">
        <v>623</v>
      </c>
      <c r="D52" t="s">
        <v>624</v>
      </c>
      <c r="E52" t="s">
        <v>625</v>
      </c>
      <c r="F52" t="s">
        <v>626</v>
      </c>
      <c r="G52" t="s">
        <v>627</v>
      </c>
      <c r="H52" t="s">
        <v>628</v>
      </c>
    </row>
    <row r="53" spans="1:8" ht="15" customHeight="1" x14ac:dyDescent="0.25">
      <c r="A53" s="81" t="s">
        <v>629</v>
      </c>
      <c r="C53" t="s">
        <v>630</v>
      </c>
      <c r="D53" t="s">
        <v>631</v>
      </c>
      <c r="E53" t="s">
        <v>632</v>
      </c>
      <c r="F53" t="s">
        <v>633</v>
      </c>
      <c r="G53" t="s">
        <v>634</v>
      </c>
      <c r="H53" t="s">
        <v>635</v>
      </c>
    </row>
    <row r="54" spans="1:8" ht="15" customHeight="1" x14ac:dyDescent="0.25">
      <c r="A54" s="81" t="s">
        <v>636</v>
      </c>
      <c r="C54" t="s">
        <v>637</v>
      </c>
      <c r="D54" t="s">
        <v>638</v>
      </c>
      <c r="E54" t="s">
        <v>639</v>
      </c>
      <c r="F54" t="s">
        <v>640</v>
      </c>
      <c r="G54" t="s">
        <v>641</v>
      </c>
      <c r="H54" t="s">
        <v>642</v>
      </c>
    </row>
    <row r="55" spans="1:8" ht="15" customHeight="1" x14ac:dyDescent="0.25">
      <c r="A55" s="81" t="s">
        <v>643</v>
      </c>
      <c r="C55" t="s">
        <v>644</v>
      </c>
      <c r="D55" t="s">
        <v>645</v>
      </c>
      <c r="E55" t="s">
        <v>646</v>
      </c>
      <c r="F55" t="s">
        <v>647</v>
      </c>
      <c r="G55" t="s">
        <v>648</v>
      </c>
      <c r="H55" t="s">
        <v>649</v>
      </c>
    </row>
    <row r="56" spans="1:8" ht="15" customHeight="1" x14ac:dyDescent="0.25">
      <c r="A56" s="81" t="s">
        <v>650</v>
      </c>
      <c r="C56" t="s">
        <v>651</v>
      </c>
      <c r="D56" t="s">
        <v>652</v>
      </c>
      <c r="E56" t="s">
        <v>653</v>
      </c>
      <c r="F56" t="s">
        <v>654</v>
      </c>
      <c r="G56" t="s">
        <v>655</v>
      </c>
      <c r="H56" t="s">
        <v>656</v>
      </c>
    </row>
    <row r="57" spans="1:8" ht="15" customHeight="1" x14ac:dyDescent="0.25">
      <c r="A57" s="81" t="s">
        <v>657</v>
      </c>
      <c r="C57" t="s">
        <v>658</v>
      </c>
      <c r="D57" t="s">
        <v>659</v>
      </c>
      <c r="E57" t="s">
        <v>658</v>
      </c>
      <c r="F57" t="s">
        <v>660</v>
      </c>
      <c r="G57" t="s">
        <v>658</v>
      </c>
      <c r="H57" t="s">
        <v>661</v>
      </c>
    </row>
    <row r="58" spans="1:8" ht="15" customHeight="1" x14ac:dyDescent="0.25">
      <c r="A58" s="81" t="s">
        <v>662</v>
      </c>
      <c r="C58" t="s">
        <v>663</v>
      </c>
      <c r="D58" t="s">
        <v>664</v>
      </c>
      <c r="E58" t="s">
        <v>665</v>
      </c>
    </row>
    <row r="59" spans="1:8" ht="15" customHeight="1" x14ac:dyDescent="0.25">
      <c r="A59" s="81" t="s">
        <v>49</v>
      </c>
      <c r="C59" t="s">
        <v>666</v>
      </c>
      <c r="D59" t="s">
        <v>196</v>
      </c>
      <c r="E59" t="s">
        <v>225</v>
      </c>
      <c r="F59" t="s">
        <v>667</v>
      </c>
      <c r="G59" t="s">
        <v>668</v>
      </c>
      <c r="H59" t="s">
        <v>211</v>
      </c>
    </row>
    <row r="60" spans="1:8" ht="15" customHeight="1" x14ac:dyDescent="0.25">
      <c r="A60" s="81" t="s">
        <v>669</v>
      </c>
      <c r="C60" t="s">
        <v>670</v>
      </c>
      <c r="D60" t="s">
        <v>671</v>
      </c>
      <c r="E60" t="s">
        <v>672</v>
      </c>
      <c r="F60" t="s">
        <v>672</v>
      </c>
      <c r="G60" t="s">
        <v>673</v>
      </c>
      <c r="H60" t="s">
        <v>674</v>
      </c>
    </row>
    <row r="61" spans="1:8" ht="15" customHeight="1" x14ac:dyDescent="0.25">
      <c r="A61" s="81" t="s">
        <v>675</v>
      </c>
      <c r="C61" t="s">
        <v>676</v>
      </c>
      <c r="D61" t="s">
        <v>677</v>
      </c>
      <c r="E61" t="s">
        <v>678</v>
      </c>
      <c r="F61" t="s">
        <v>679</v>
      </c>
      <c r="G61" t="s">
        <v>680</v>
      </c>
      <c r="H61" t="s">
        <v>681</v>
      </c>
    </row>
    <row r="62" spans="1:8" ht="15" customHeight="1" x14ac:dyDescent="0.25">
      <c r="A62" s="81" t="s">
        <v>682</v>
      </c>
      <c r="C62" t="s">
        <v>683</v>
      </c>
      <c r="D62" t="s">
        <v>684</v>
      </c>
      <c r="E62" t="s">
        <v>685</v>
      </c>
      <c r="F62" t="s">
        <v>686</v>
      </c>
      <c r="G62" t="s">
        <v>687</v>
      </c>
      <c r="H62" t="s">
        <v>688</v>
      </c>
    </row>
    <row r="63" spans="1:8" ht="15" customHeight="1" x14ac:dyDescent="0.25">
      <c r="A63" s="81" t="s">
        <v>8</v>
      </c>
      <c r="C63" t="s">
        <v>689</v>
      </c>
      <c r="D63" t="s">
        <v>9</v>
      </c>
      <c r="E63" t="s">
        <v>690</v>
      </c>
      <c r="F63" t="s">
        <v>9</v>
      </c>
      <c r="G63" t="s">
        <v>689</v>
      </c>
      <c r="H63" t="s">
        <v>690</v>
      </c>
    </row>
    <row r="64" spans="1:8" ht="15" customHeight="1" x14ac:dyDescent="0.25">
      <c r="A64" s="81" t="s">
        <v>691</v>
      </c>
      <c r="C64" t="s">
        <v>692</v>
      </c>
      <c r="D64" t="s">
        <v>693</v>
      </c>
      <c r="E64" t="s">
        <v>694</v>
      </c>
      <c r="F64" t="s">
        <v>695</v>
      </c>
      <c r="G64" t="s">
        <v>696</v>
      </c>
      <c r="H64" t="s">
        <v>697</v>
      </c>
    </row>
    <row r="65" spans="1:8" ht="15" customHeight="1" x14ac:dyDescent="0.25">
      <c r="A65" s="81" t="s">
        <v>698</v>
      </c>
      <c r="C65" t="s">
        <v>699</v>
      </c>
      <c r="D65" t="s">
        <v>700</v>
      </c>
      <c r="E65" t="s">
        <v>701</v>
      </c>
      <c r="F65" t="s">
        <v>702</v>
      </c>
      <c r="G65" t="s">
        <v>703</v>
      </c>
      <c r="H65" t="s">
        <v>704</v>
      </c>
    </row>
    <row r="66" spans="1:8" ht="15" customHeight="1" x14ac:dyDescent="0.25">
      <c r="A66" s="81" t="s">
        <v>705</v>
      </c>
      <c r="C66" t="s">
        <v>706</v>
      </c>
      <c r="D66" t="s">
        <v>707</v>
      </c>
      <c r="E66" t="s">
        <v>708</v>
      </c>
      <c r="F66" t="s">
        <v>709</v>
      </c>
      <c r="G66" t="s">
        <v>710</v>
      </c>
      <c r="H66" t="s">
        <v>711</v>
      </c>
    </row>
    <row r="67" spans="1:8" ht="15" customHeight="1" x14ac:dyDescent="0.25">
      <c r="A67" s="81" t="s">
        <v>712</v>
      </c>
      <c r="C67" t="s">
        <v>713</v>
      </c>
      <c r="D67" t="s">
        <v>714</v>
      </c>
      <c r="E67" t="s">
        <v>715</v>
      </c>
      <c r="F67" t="s">
        <v>716</v>
      </c>
      <c r="G67" t="s">
        <v>717</v>
      </c>
      <c r="H67" t="s">
        <v>718</v>
      </c>
    </row>
    <row r="68" spans="1:8" ht="15" customHeight="1" x14ac:dyDescent="0.25">
      <c r="A68" s="81" t="s">
        <v>719</v>
      </c>
      <c r="C68" t="s">
        <v>720</v>
      </c>
      <c r="D68" t="s">
        <v>721</v>
      </c>
      <c r="E68" t="s">
        <v>632</v>
      </c>
      <c r="F68" t="s">
        <v>722</v>
      </c>
      <c r="G68" t="s">
        <v>723</v>
      </c>
      <c r="H68" t="s">
        <v>724</v>
      </c>
    </row>
    <row r="69" spans="1:8" ht="15" customHeight="1" x14ac:dyDescent="0.25">
      <c r="A69" s="81" t="s">
        <v>725</v>
      </c>
      <c r="C69" t="s">
        <v>726</v>
      </c>
      <c r="D69" t="s">
        <v>727</v>
      </c>
      <c r="E69" t="s">
        <v>728</v>
      </c>
      <c r="F69" t="s">
        <v>729</v>
      </c>
      <c r="G69" t="s">
        <v>730</v>
      </c>
      <c r="H69" t="s">
        <v>731</v>
      </c>
    </row>
    <row r="70" spans="1:8" ht="15" customHeight="1" x14ac:dyDescent="0.25">
      <c r="A70" s="81" t="s">
        <v>732</v>
      </c>
      <c r="C70" t="s">
        <v>733</v>
      </c>
      <c r="D70" t="s">
        <v>734</v>
      </c>
      <c r="E70" t="s">
        <v>735</v>
      </c>
      <c r="F70" t="s">
        <v>736</v>
      </c>
      <c r="G70" t="s">
        <v>737</v>
      </c>
      <c r="H70" t="s">
        <v>738</v>
      </c>
    </row>
    <row r="71" spans="1:8" ht="15" customHeight="1" x14ac:dyDescent="0.25">
      <c r="A71" s="81" t="s">
        <v>739</v>
      </c>
      <c r="C71" t="s">
        <v>740</v>
      </c>
      <c r="D71" t="s">
        <v>741</v>
      </c>
      <c r="E71" t="s">
        <v>742</v>
      </c>
      <c r="F71" t="s">
        <v>743</v>
      </c>
      <c r="G71" t="s">
        <v>744</v>
      </c>
      <c r="H71" t="s">
        <v>745</v>
      </c>
    </row>
    <row r="72" spans="1:8" ht="15" customHeight="1" x14ac:dyDescent="0.25">
      <c r="A72" s="81" t="s">
        <v>746</v>
      </c>
      <c r="C72" t="s">
        <v>747</v>
      </c>
      <c r="D72" t="s">
        <v>748</v>
      </c>
      <c r="E72" t="s">
        <v>749</v>
      </c>
      <c r="F72" t="s">
        <v>750</v>
      </c>
      <c r="G72" t="s">
        <v>751</v>
      </c>
      <c r="H72" t="s">
        <v>752</v>
      </c>
    </row>
    <row r="74" spans="1:8" ht="15" customHeight="1" x14ac:dyDescent="0.25">
      <c r="A74" s="83" t="s">
        <v>753</v>
      </c>
      <c r="C74" t="s">
        <v>754</v>
      </c>
    </row>
    <row r="75" spans="1:8" ht="15" customHeight="1" x14ac:dyDescent="0.25">
      <c r="A75" s="84" t="s">
        <v>755</v>
      </c>
      <c r="C75" t="s">
        <v>756</v>
      </c>
    </row>
    <row r="76" spans="1:8" ht="15" customHeight="1" x14ac:dyDescent="0.25">
      <c r="A76" s="60" t="s">
        <v>757</v>
      </c>
      <c r="C76" t="s">
        <v>758</v>
      </c>
    </row>
    <row r="78" spans="1:8" ht="15" customHeight="1" x14ac:dyDescent="0.25">
      <c r="A78" s="73" t="s">
        <v>759</v>
      </c>
    </row>
    <row r="79" spans="1:8" ht="15" customHeight="1" x14ac:dyDescent="0.25">
      <c r="A79" t="s">
        <v>760</v>
      </c>
      <c r="C79" t="s">
        <v>761</v>
      </c>
    </row>
    <row r="80" spans="1:8" ht="15" customHeight="1" x14ac:dyDescent="0.25">
      <c r="A80" t="s">
        <v>762</v>
      </c>
      <c r="C80" t="s">
        <v>763</v>
      </c>
    </row>
    <row r="81" spans="1:3" ht="15" customHeight="1" x14ac:dyDescent="0.25">
      <c r="A81" t="s">
        <v>764</v>
      </c>
      <c r="C81" t="s">
        <v>765</v>
      </c>
    </row>
    <row r="82" spans="1:3" ht="15" customHeight="1" x14ac:dyDescent="0.25">
      <c r="A82" t="s">
        <v>766</v>
      </c>
      <c r="C82" t="s">
        <v>767</v>
      </c>
    </row>
    <row r="83" spans="1:3" ht="15" customHeight="1" x14ac:dyDescent="0.25">
      <c r="A83" t="s">
        <v>768</v>
      </c>
      <c r="C83" t="s">
        <v>769</v>
      </c>
    </row>
    <row r="84" spans="1:3" ht="15" customHeight="1" x14ac:dyDescent="0.25">
      <c r="A84" t="s">
        <v>770</v>
      </c>
      <c r="C84" t="s">
        <v>771</v>
      </c>
    </row>
    <row r="85" spans="1:3" ht="15" customHeight="1" x14ac:dyDescent="0.25">
      <c r="A85" t="s">
        <v>772</v>
      </c>
      <c r="C85" t="s">
        <v>773</v>
      </c>
    </row>
    <row r="86" spans="1:3" ht="15" customHeight="1" x14ac:dyDescent="0.25">
      <c r="A86" t="s">
        <v>774</v>
      </c>
      <c r="C86" t="s">
        <v>775</v>
      </c>
    </row>
    <row r="88" spans="1:3" ht="15" customHeight="1" x14ac:dyDescent="0.25">
      <c r="A88" s="73" t="s">
        <v>776</v>
      </c>
    </row>
    <row r="89" spans="1:3" ht="15" customHeight="1" x14ac:dyDescent="0.25">
      <c r="A89" t="s">
        <v>777</v>
      </c>
      <c r="C89" t="s">
        <v>778</v>
      </c>
    </row>
    <row r="91" spans="1:3" ht="15" customHeight="1" x14ac:dyDescent="0.25">
      <c r="A91" s="73" t="s">
        <v>779</v>
      </c>
    </row>
    <row r="92" spans="1:3" ht="15" customHeight="1" x14ac:dyDescent="0.25">
      <c r="A92" t="s">
        <v>780</v>
      </c>
      <c r="C92" t="s">
        <v>781</v>
      </c>
    </row>
    <row r="94" spans="1:3" ht="15" customHeight="1" x14ac:dyDescent="0.25">
      <c r="A94" s="73" t="s">
        <v>782</v>
      </c>
    </row>
    <row r="95" spans="1:3" ht="15" customHeight="1" x14ac:dyDescent="0.25">
      <c r="A95" t="s">
        <v>783</v>
      </c>
      <c r="C95" t="s">
        <v>784</v>
      </c>
    </row>
    <row r="96" spans="1:3" ht="15" customHeight="1" x14ac:dyDescent="0.25">
      <c r="A96" t="s">
        <v>785</v>
      </c>
      <c r="C96" t="s">
        <v>786</v>
      </c>
    </row>
    <row r="97" spans="1:4" ht="15" customHeight="1" x14ac:dyDescent="0.25">
      <c r="A97" t="s">
        <v>787</v>
      </c>
      <c r="C97" t="s">
        <v>788</v>
      </c>
    </row>
    <row r="98" spans="1:4" ht="15" customHeight="1" x14ac:dyDescent="0.25">
      <c r="A98" t="s">
        <v>789</v>
      </c>
      <c r="C98" t="s">
        <v>790</v>
      </c>
    </row>
    <row r="100" spans="1:4" ht="15" customHeight="1" x14ac:dyDescent="0.25">
      <c r="A100" s="64" t="s">
        <v>791</v>
      </c>
    </row>
    <row r="101" spans="1:4" ht="15" customHeight="1" x14ac:dyDescent="0.25">
      <c r="A101" t="s">
        <v>792</v>
      </c>
      <c r="C101" t="s">
        <v>793</v>
      </c>
    </row>
    <row r="102" spans="1:4" ht="15" customHeight="1" x14ac:dyDescent="0.25">
      <c r="A102" t="s">
        <v>794</v>
      </c>
      <c r="C102" t="s">
        <v>795</v>
      </c>
    </row>
    <row r="103" spans="1:4" ht="15" customHeight="1" x14ac:dyDescent="0.25">
      <c r="A103" t="s">
        <v>796</v>
      </c>
      <c r="C103" t="s">
        <v>797</v>
      </c>
    </row>
    <row r="104" spans="1:4" ht="15" customHeight="1" x14ac:dyDescent="0.25">
      <c r="A104" t="s">
        <v>798</v>
      </c>
      <c r="C104" t="s">
        <v>799</v>
      </c>
    </row>
    <row r="106" spans="1:4" ht="15" customHeight="1" x14ac:dyDescent="0.25">
      <c r="A106" s="64" t="s">
        <v>800</v>
      </c>
      <c r="D106" s="64" t="s">
        <v>801</v>
      </c>
    </row>
    <row r="107" spans="1:4" ht="15" customHeight="1" x14ac:dyDescent="0.25">
      <c r="A107" s="60" t="s">
        <v>802</v>
      </c>
      <c r="D107" t="s">
        <v>803</v>
      </c>
    </row>
    <row r="108" spans="1:4" ht="15" customHeight="1" x14ac:dyDescent="0.25">
      <c r="A108" s="60" t="s">
        <v>804</v>
      </c>
      <c r="D108" t="s">
        <v>805</v>
      </c>
    </row>
    <row r="109" spans="1:4" ht="15" customHeight="1" x14ac:dyDescent="0.25">
      <c r="A109" s="60" t="s">
        <v>806</v>
      </c>
      <c r="D109" t="s">
        <v>807</v>
      </c>
    </row>
    <row r="110" spans="1:4" ht="15" customHeight="1" x14ac:dyDescent="0.25">
      <c r="A110" s="60" t="s">
        <v>808</v>
      </c>
      <c r="D110" t="s">
        <v>809</v>
      </c>
    </row>
    <row r="111" spans="1:4" ht="15" customHeight="1" x14ac:dyDescent="0.25">
      <c r="A111" s="60" t="s">
        <v>810</v>
      </c>
      <c r="D111" t="s">
        <v>811</v>
      </c>
    </row>
    <row r="113" spans="1:4" ht="15" customHeight="1" x14ac:dyDescent="0.25">
      <c r="A113" s="63" t="s">
        <v>812</v>
      </c>
    </row>
    <row r="114" spans="1:4" ht="15" customHeight="1" x14ac:dyDescent="0.25">
      <c r="A114" s="60" t="s">
        <v>794</v>
      </c>
      <c r="D114" t="s">
        <v>813</v>
      </c>
    </row>
    <row r="115" spans="1:4" ht="15" customHeight="1" x14ac:dyDescent="0.25">
      <c r="A115" s="60" t="s">
        <v>796</v>
      </c>
      <c r="D115" t="s">
        <v>814</v>
      </c>
    </row>
    <row r="116" spans="1:4" ht="15" customHeight="1" x14ac:dyDescent="0.25">
      <c r="A116" s="60" t="s">
        <v>815</v>
      </c>
      <c r="D116" t="s">
        <v>816</v>
      </c>
    </row>
    <row r="117" spans="1:4" ht="15" customHeight="1" x14ac:dyDescent="0.25">
      <c r="A117" s="60" t="s">
        <v>817</v>
      </c>
      <c r="D117" t="s">
        <v>818</v>
      </c>
    </row>
    <row r="118" spans="1:4" ht="15" customHeight="1" x14ac:dyDescent="0.25">
      <c r="A118" s="60" t="s">
        <v>819</v>
      </c>
      <c r="D118" t="s">
        <v>820</v>
      </c>
    </row>
    <row r="119" spans="1:4" ht="15" customHeight="1" x14ac:dyDescent="0.25">
      <c r="A119" s="60" t="s">
        <v>821</v>
      </c>
      <c r="D119" t="s">
        <v>822</v>
      </c>
    </row>
    <row r="120" spans="1:4" ht="15" customHeight="1" x14ac:dyDescent="0.25">
      <c r="A120" s="85" t="s">
        <v>823</v>
      </c>
      <c r="D120" s="85" t="s">
        <v>824</v>
      </c>
    </row>
    <row r="121" spans="1:4" ht="15" customHeight="1" x14ac:dyDescent="0.25">
      <c r="A121" s="60" t="s">
        <v>825</v>
      </c>
      <c r="D121" t="s">
        <v>826</v>
      </c>
    </row>
    <row r="122" spans="1:4" ht="15" customHeight="1" x14ac:dyDescent="0.25">
      <c r="A122" s="60" t="s">
        <v>827</v>
      </c>
      <c r="D122" t="s">
        <v>828</v>
      </c>
    </row>
    <row r="123" spans="1:4" ht="15" customHeight="1" x14ac:dyDescent="0.25">
      <c r="A123" s="60" t="s">
        <v>829</v>
      </c>
      <c r="D123" t="s">
        <v>830</v>
      </c>
    </row>
    <row r="124" spans="1:4" ht="15" customHeight="1" x14ac:dyDescent="0.25">
      <c r="A124" s="60" t="s">
        <v>831</v>
      </c>
      <c r="D124" t="s">
        <v>832</v>
      </c>
    </row>
    <row r="125" spans="1:4" ht="15" customHeight="1" x14ac:dyDescent="0.25">
      <c r="A125" s="60" t="s">
        <v>833</v>
      </c>
      <c r="D125" t="s">
        <v>834</v>
      </c>
    </row>
    <row r="126" spans="1:4" ht="15" customHeight="1" x14ac:dyDescent="0.25">
      <c r="A126" s="60" t="s">
        <v>835</v>
      </c>
      <c r="D126" t="s">
        <v>836</v>
      </c>
    </row>
    <row r="127" spans="1:4" ht="15" customHeight="1" x14ac:dyDescent="0.25">
      <c r="A127" s="60" t="s">
        <v>837</v>
      </c>
      <c r="D127" t="s">
        <v>838</v>
      </c>
    </row>
    <row r="128" spans="1:4" ht="15" customHeight="1" x14ac:dyDescent="0.25">
      <c r="A128" s="60" t="s">
        <v>839</v>
      </c>
      <c r="D128" t="s">
        <v>840</v>
      </c>
    </row>
    <row r="129" spans="1:7" ht="15" customHeight="1" x14ac:dyDescent="0.25">
      <c r="A129" s="85" t="s">
        <v>841</v>
      </c>
    </row>
    <row r="130" spans="1:7" ht="15" customHeight="1" x14ac:dyDescent="0.25">
      <c r="A130" s="60" t="s">
        <v>310</v>
      </c>
      <c r="B130" t="s">
        <v>842</v>
      </c>
    </row>
    <row r="131" spans="1:7" ht="15" customHeight="1" x14ac:dyDescent="0.25">
      <c r="A131" s="60" t="s">
        <v>323</v>
      </c>
      <c r="C131" t="s">
        <v>843</v>
      </c>
    </row>
    <row r="132" spans="1:7" ht="15" customHeight="1" x14ac:dyDescent="0.25">
      <c r="A132" s="60" t="s">
        <v>308</v>
      </c>
      <c r="D132" t="s">
        <v>844</v>
      </c>
    </row>
    <row r="133" spans="1:7" ht="15" customHeight="1" x14ac:dyDescent="0.25">
      <c r="A133" s="60" t="s">
        <v>321</v>
      </c>
      <c r="E133" t="s">
        <v>845</v>
      </c>
    </row>
    <row r="135" spans="1:7" ht="15" customHeight="1" x14ac:dyDescent="0.25">
      <c r="A135" s="85" t="s">
        <v>846</v>
      </c>
    </row>
    <row r="136" spans="1:7" ht="15" customHeight="1" x14ac:dyDescent="0.25">
      <c r="A136" s="60" t="s">
        <v>847</v>
      </c>
      <c r="D136" t="s">
        <v>848</v>
      </c>
    </row>
    <row r="137" spans="1:7" ht="15" customHeight="1" x14ac:dyDescent="0.25">
      <c r="A137" s="60" t="s">
        <v>849</v>
      </c>
      <c r="D137" t="s">
        <v>850</v>
      </c>
    </row>
    <row r="138" spans="1:7" ht="15" customHeight="1" x14ac:dyDescent="0.25">
      <c r="A138" s="60" t="s">
        <v>851</v>
      </c>
      <c r="F138" t="s">
        <v>852</v>
      </c>
    </row>
    <row r="139" spans="1:7" ht="15" customHeight="1" x14ac:dyDescent="0.25">
      <c r="A139" s="60" t="s">
        <v>853</v>
      </c>
      <c r="G139" t="s">
        <v>854</v>
      </c>
    </row>
    <row r="141" spans="1:7" ht="15" customHeight="1" x14ac:dyDescent="0.25">
      <c r="A141" s="64" t="s">
        <v>855</v>
      </c>
      <c r="F141" s="86" t="s">
        <v>856</v>
      </c>
    </row>
    <row r="142" spans="1:7" ht="15" customHeight="1" x14ac:dyDescent="0.25">
      <c r="A142" s="60" t="s">
        <v>857</v>
      </c>
      <c r="F142" t="s">
        <v>858</v>
      </c>
    </row>
    <row r="143" spans="1:7" ht="15" customHeight="1" x14ac:dyDescent="0.25">
      <c r="A143" s="60" t="s">
        <v>859</v>
      </c>
      <c r="F143" t="s">
        <v>860</v>
      </c>
    </row>
    <row r="144" spans="1:7" ht="15" customHeight="1" x14ac:dyDescent="0.25">
      <c r="A144" s="60" t="s">
        <v>861</v>
      </c>
      <c r="F144" t="s">
        <v>862</v>
      </c>
    </row>
    <row r="145" spans="1:7" ht="15" customHeight="1" x14ac:dyDescent="0.25">
      <c r="A145" s="60" t="s">
        <v>863</v>
      </c>
      <c r="F145" t="s">
        <v>864</v>
      </c>
    </row>
    <row r="146" spans="1:7" ht="15" customHeight="1" x14ac:dyDescent="0.25">
      <c r="A146" s="60" t="s">
        <v>865</v>
      </c>
      <c r="F146" t="s">
        <v>866</v>
      </c>
    </row>
    <row r="147" spans="1:7" ht="15" customHeight="1" x14ac:dyDescent="0.25">
      <c r="A147" s="60" t="s">
        <v>867</v>
      </c>
      <c r="F147" t="s">
        <v>868</v>
      </c>
    </row>
    <row r="149" spans="1:7" ht="15" customHeight="1" x14ac:dyDescent="0.25">
      <c r="A149" s="64" t="s">
        <v>869</v>
      </c>
      <c r="G149" s="86" t="s">
        <v>870</v>
      </c>
    </row>
    <row r="150" spans="1:7" ht="15" customHeight="1" x14ac:dyDescent="0.25">
      <c r="A150" s="60" t="s">
        <v>777</v>
      </c>
      <c r="G150" t="s">
        <v>871</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08"/>
  <sheetViews>
    <sheetView topLeftCell="A186" zoomScaleNormal="100" workbookViewId="0">
      <selection activeCell="B212" sqref="B212"/>
    </sheetView>
  </sheetViews>
  <sheetFormatPr defaultColWidth="8.5703125" defaultRowHeight="15" x14ac:dyDescent="0.25"/>
  <cols>
    <col min="1" max="2" width="99" customWidth="1"/>
  </cols>
  <sheetData>
    <row r="1" spans="1:2" ht="21" customHeight="1" x14ac:dyDescent="0.35">
      <c r="A1" s="3" t="s">
        <v>872</v>
      </c>
      <c r="B1" s="3"/>
    </row>
    <row r="3" spans="1:2" ht="15.75" customHeight="1" x14ac:dyDescent="0.25">
      <c r="A3" s="2" t="s">
        <v>873</v>
      </c>
      <c r="B3" s="2"/>
    </row>
    <row r="4" spans="1:2" ht="45" customHeight="1" x14ac:dyDescent="0.25">
      <c r="A4" s="87" t="s">
        <v>874</v>
      </c>
      <c r="B4" s="88" t="s">
        <v>875</v>
      </c>
    </row>
    <row r="5" spans="1:2" ht="15" customHeight="1" x14ac:dyDescent="0.25">
      <c r="A5" s="87"/>
      <c r="B5" s="88"/>
    </row>
    <row r="6" spans="1:2" ht="30" customHeight="1" x14ac:dyDescent="0.25">
      <c r="A6" s="87" t="s">
        <v>606</v>
      </c>
      <c r="B6" s="88" t="s">
        <v>876</v>
      </c>
    </row>
    <row r="7" spans="1:2" ht="15" customHeight="1" x14ac:dyDescent="0.25">
      <c r="A7" s="87" t="s">
        <v>609</v>
      </c>
      <c r="B7" s="88" t="s">
        <v>877</v>
      </c>
    </row>
    <row r="8" spans="1:2" ht="15" customHeight="1" x14ac:dyDescent="0.25">
      <c r="A8" s="87" t="s">
        <v>607</v>
      </c>
      <c r="B8" s="88" t="s">
        <v>878</v>
      </c>
    </row>
    <row r="9" spans="1:2" ht="15" customHeight="1" x14ac:dyDescent="0.25">
      <c r="A9" s="87" t="s">
        <v>605</v>
      </c>
      <c r="B9" s="88" t="s">
        <v>879</v>
      </c>
    </row>
    <row r="10" spans="1:2" ht="15" customHeight="1" x14ac:dyDescent="0.25">
      <c r="A10" s="87"/>
      <c r="B10" s="88"/>
    </row>
    <row r="11" spans="1:2" ht="45" customHeight="1" x14ac:dyDescent="0.25">
      <c r="A11" s="87" t="s">
        <v>880</v>
      </c>
      <c r="B11" s="88" t="s">
        <v>881</v>
      </c>
    </row>
    <row r="12" spans="1:2" ht="15" customHeight="1" x14ac:dyDescent="0.25">
      <c r="A12" s="87"/>
      <c r="B12" s="88"/>
    </row>
    <row r="13" spans="1:2" ht="45" customHeight="1" x14ac:dyDescent="0.25">
      <c r="A13" s="87" t="s">
        <v>882</v>
      </c>
      <c r="B13" s="88" t="s">
        <v>883</v>
      </c>
    </row>
    <row r="14" spans="1:2" ht="15" customHeight="1" x14ac:dyDescent="0.25">
      <c r="A14" s="87"/>
      <c r="B14" s="88"/>
    </row>
    <row r="15" spans="1:2" ht="45" customHeight="1" x14ac:dyDescent="0.25">
      <c r="A15" s="87" t="s">
        <v>884</v>
      </c>
      <c r="B15" s="88" t="s">
        <v>885</v>
      </c>
    </row>
    <row r="16" spans="1:2" ht="15" customHeight="1" x14ac:dyDescent="0.25">
      <c r="A16" s="87"/>
      <c r="B16" s="88"/>
    </row>
    <row r="17" spans="1:2" ht="45" customHeight="1" x14ac:dyDescent="0.25">
      <c r="A17" s="87" t="s">
        <v>886</v>
      </c>
      <c r="B17" s="88" t="s">
        <v>887</v>
      </c>
    </row>
    <row r="18" spans="1:2" ht="15" customHeight="1" x14ac:dyDescent="0.25">
      <c r="A18" s="87"/>
      <c r="B18" s="88"/>
    </row>
    <row r="19" spans="1:2" ht="15.75" customHeight="1" x14ac:dyDescent="0.25">
      <c r="A19" s="1" t="s">
        <v>888</v>
      </c>
      <c r="B19" s="1"/>
    </row>
    <row r="20" spans="1:2" ht="15" customHeight="1" x14ac:dyDescent="0.25">
      <c r="A20" s="87" t="s">
        <v>889</v>
      </c>
      <c r="B20" s="88" t="s">
        <v>890</v>
      </c>
    </row>
    <row r="21" spans="1:2" ht="15" customHeight="1" x14ac:dyDescent="0.25">
      <c r="A21" s="87" t="s">
        <v>891</v>
      </c>
      <c r="B21" s="88" t="s">
        <v>892</v>
      </c>
    </row>
    <row r="22" spans="1:2" ht="30" customHeight="1" x14ac:dyDescent="0.25">
      <c r="A22" s="87" t="s">
        <v>893</v>
      </c>
      <c r="B22" s="88" t="s">
        <v>894</v>
      </c>
    </row>
    <row r="23" spans="1:2" ht="15" customHeight="1" x14ac:dyDescent="0.25">
      <c r="A23" s="87" t="s">
        <v>895</v>
      </c>
      <c r="B23" s="88" t="s">
        <v>896</v>
      </c>
    </row>
    <row r="24" spans="1:2" ht="15" customHeight="1" x14ac:dyDescent="0.25">
      <c r="A24" s="87"/>
      <c r="B24" s="88"/>
    </row>
    <row r="25" spans="1:2" ht="15.75" customHeight="1" x14ac:dyDescent="0.25">
      <c r="A25" s="1" t="s">
        <v>897</v>
      </c>
      <c r="B25" s="1"/>
    </row>
    <row r="26" spans="1:2" ht="15" customHeight="1" x14ac:dyDescent="0.25">
      <c r="A26" s="87" t="s">
        <v>874</v>
      </c>
      <c r="B26" s="88" t="s">
        <v>898</v>
      </c>
    </row>
    <row r="27" spans="1:2" ht="15" customHeight="1" x14ac:dyDescent="0.25">
      <c r="A27" s="87"/>
      <c r="B27" s="88"/>
    </row>
    <row r="28" spans="1:2" ht="15.75" customHeight="1" x14ac:dyDescent="0.25">
      <c r="A28" s="1" t="s">
        <v>899</v>
      </c>
      <c r="B28" s="1"/>
    </row>
    <row r="29" spans="1:2" ht="15" customHeight="1" x14ac:dyDescent="0.25">
      <c r="A29" s="87" t="s">
        <v>178</v>
      </c>
      <c r="B29" s="88" t="s">
        <v>900</v>
      </c>
    </row>
    <row r="30" spans="1:2" ht="15" customHeight="1" x14ac:dyDescent="0.25">
      <c r="A30" s="87" t="s">
        <v>198</v>
      </c>
      <c r="B30" s="88" t="s">
        <v>901</v>
      </c>
    </row>
    <row r="31" spans="1:2" ht="15" customHeight="1" x14ac:dyDescent="0.25">
      <c r="A31" s="87" t="s">
        <v>213</v>
      </c>
      <c r="B31" s="88" t="s">
        <v>902</v>
      </c>
    </row>
    <row r="32" spans="1:2" ht="15" customHeight="1" x14ac:dyDescent="0.25">
      <c r="A32" s="87" t="s">
        <v>227</v>
      </c>
      <c r="B32" s="88" t="s">
        <v>903</v>
      </c>
    </row>
    <row r="33" spans="1:2" ht="15" customHeight="1" x14ac:dyDescent="0.25">
      <c r="A33" s="87"/>
      <c r="B33" s="88"/>
    </row>
    <row r="34" spans="1:2" ht="15.75" customHeight="1" x14ac:dyDescent="0.25">
      <c r="A34" s="1" t="s">
        <v>904</v>
      </c>
      <c r="B34" s="1"/>
    </row>
    <row r="35" spans="1:2" ht="15" customHeight="1" x14ac:dyDescent="0.25">
      <c r="A35" s="87" t="s">
        <v>228</v>
      </c>
      <c r="B35" s="88" t="s">
        <v>905</v>
      </c>
    </row>
    <row r="36" spans="1:2" ht="15" customHeight="1" x14ac:dyDescent="0.25">
      <c r="A36" s="87" t="s">
        <v>179</v>
      </c>
      <c r="B36" s="88" t="s">
        <v>906</v>
      </c>
    </row>
    <row r="37" spans="1:2" ht="15" customHeight="1" x14ac:dyDescent="0.25">
      <c r="A37" s="87" t="s">
        <v>248</v>
      </c>
      <c r="B37" s="88" t="s">
        <v>907</v>
      </c>
    </row>
    <row r="38" spans="1:2" ht="15" customHeight="1" x14ac:dyDescent="0.25">
      <c r="A38" s="87"/>
      <c r="B38" s="88"/>
    </row>
    <row r="39" spans="1:2" ht="15.75" customHeight="1" x14ac:dyDescent="0.25">
      <c r="A39" s="1" t="s">
        <v>908</v>
      </c>
      <c r="B39" s="1"/>
    </row>
    <row r="40" spans="1:2" ht="15" customHeight="1" x14ac:dyDescent="0.25">
      <c r="A40" s="87" t="s">
        <v>180</v>
      </c>
      <c r="B40" s="88" t="s">
        <v>909</v>
      </c>
    </row>
    <row r="41" spans="1:2" ht="15" customHeight="1" x14ac:dyDescent="0.25">
      <c r="A41" s="87" t="s">
        <v>199</v>
      </c>
      <c r="B41" s="88" t="s">
        <v>910</v>
      </c>
    </row>
    <row r="42" spans="1:2" ht="15" customHeight="1" x14ac:dyDescent="0.25">
      <c r="A42" s="87" t="s">
        <v>214</v>
      </c>
      <c r="B42" s="88" t="s">
        <v>911</v>
      </c>
    </row>
    <row r="43" spans="1:2" ht="15" customHeight="1" x14ac:dyDescent="0.25">
      <c r="A43" s="87" t="s">
        <v>874</v>
      </c>
      <c r="B43" s="88" t="s">
        <v>912</v>
      </c>
    </row>
    <row r="44" spans="1:2" ht="15" customHeight="1" x14ac:dyDescent="0.25">
      <c r="A44" s="87"/>
      <c r="B44" s="88"/>
    </row>
    <row r="45" spans="1:2" ht="15.75" customHeight="1" x14ac:dyDescent="0.25">
      <c r="A45" s="1" t="s">
        <v>913</v>
      </c>
      <c r="B45" s="1"/>
    </row>
    <row r="46" spans="1:2" ht="15" customHeight="1" x14ac:dyDescent="0.25">
      <c r="A46" s="87" t="s">
        <v>874</v>
      </c>
      <c r="B46" s="88" t="s">
        <v>914</v>
      </c>
    </row>
    <row r="47" spans="1:2" ht="15" customHeight="1" x14ac:dyDescent="0.25">
      <c r="A47" s="87" t="s">
        <v>173</v>
      </c>
      <c r="B47" s="88" t="s">
        <v>915</v>
      </c>
    </row>
    <row r="48" spans="1:2" ht="15" customHeight="1" x14ac:dyDescent="0.25">
      <c r="A48" s="87" t="s">
        <v>193</v>
      </c>
      <c r="B48" s="88" t="s">
        <v>916</v>
      </c>
    </row>
    <row r="49" spans="1:2" ht="15" customHeight="1" x14ac:dyDescent="0.25">
      <c r="A49" s="87"/>
      <c r="B49" s="88"/>
    </row>
    <row r="50" spans="1:2" ht="15.75" customHeight="1" x14ac:dyDescent="0.25">
      <c r="A50" s="1" t="s">
        <v>917</v>
      </c>
      <c r="B50" s="1"/>
    </row>
    <row r="51" spans="1:2" ht="15" customHeight="1" x14ac:dyDescent="0.25">
      <c r="A51" s="87" t="s">
        <v>874</v>
      </c>
      <c r="B51" s="88" t="s">
        <v>918</v>
      </c>
    </row>
    <row r="52" spans="1:2" ht="15" customHeight="1" x14ac:dyDescent="0.25">
      <c r="A52" s="87"/>
      <c r="B52" s="88"/>
    </row>
    <row r="53" spans="1:2" ht="15.75" customHeight="1" x14ac:dyDescent="0.25">
      <c r="A53" s="1" t="s">
        <v>919</v>
      </c>
      <c r="B53" s="1"/>
    </row>
    <row r="54" spans="1:2" ht="15" customHeight="1" x14ac:dyDescent="0.25">
      <c r="A54" s="87" t="s">
        <v>182</v>
      </c>
      <c r="B54" s="88" t="s">
        <v>920</v>
      </c>
    </row>
    <row r="55" spans="1:2" ht="15" customHeight="1" x14ac:dyDescent="0.25">
      <c r="A55" s="87" t="s">
        <v>239</v>
      </c>
      <c r="B55" s="88" t="s">
        <v>921</v>
      </c>
    </row>
    <row r="56" spans="1:2" ht="15" customHeight="1" x14ac:dyDescent="0.25">
      <c r="A56" s="87"/>
      <c r="B56" s="88"/>
    </row>
    <row r="57" spans="1:2" ht="15.75" customHeight="1" x14ac:dyDescent="0.25">
      <c r="A57" s="1" t="s">
        <v>922</v>
      </c>
      <c r="B57" s="1"/>
    </row>
    <row r="58" spans="1:2" ht="15" customHeight="1" x14ac:dyDescent="0.25">
      <c r="A58" s="87" t="s">
        <v>874</v>
      </c>
      <c r="B58" s="88" t="s">
        <v>923</v>
      </c>
    </row>
    <row r="59" spans="1:2" ht="15" customHeight="1" x14ac:dyDescent="0.25">
      <c r="A59" s="87"/>
      <c r="B59" s="88"/>
    </row>
    <row r="60" spans="1:2" ht="15.75" customHeight="1" x14ac:dyDescent="0.25">
      <c r="A60" s="1" t="s">
        <v>924</v>
      </c>
      <c r="B60" s="1"/>
    </row>
    <row r="61" spans="1:2" ht="15" customHeight="1" x14ac:dyDescent="0.25">
      <c r="A61" s="87" t="s">
        <v>895</v>
      </c>
      <c r="B61" s="88" t="s">
        <v>925</v>
      </c>
    </row>
    <row r="62" spans="1:2" ht="15" customHeight="1" x14ac:dyDescent="0.25">
      <c r="A62" s="87"/>
      <c r="B62" s="88"/>
    </row>
    <row r="63" spans="1:2" ht="15.75" customHeight="1" x14ac:dyDescent="0.25">
      <c r="A63" s="1" t="s">
        <v>926</v>
      </c>
      <c r="B63" s="1"/>
    </row>
    <row r="64" spans="1:2" ht="15" customHeight="1" x14ac:dyDescent="0.25">
      <c r="A64" s="87" t="s">
        <v>874</v>
      </c>
      <c r="B64" s="88" t="s">
        <v>927</v>
      </c>
    </row>
    <row r="65" spans="1:2" ht="15" customHeight="1" x14ac:dyDescent="0.25">
      <c r="A65" s="87" t="s">
        <v>201</v>
      </c>
      <c r="B65" s="88" t="s">
        <v>928</v>
      </c>
    </row>
    <row r="66" spans="1:2" ht="15" customHeight="1" x14ac:dyDescent="0.25">
      <c r="A66" s="87" t="s">
        <v>185</v>
      </c>
      <c r="B66" s="88" t="s">
        <v>929</v>
      </c>
    </row>
    <row r="67" spans="1:2" ht="15" customHeight="1" x14ac:dyDescent="0.25">
      <c r="A67" s="87" t="s">
        <v>231</v>
      </c>
      <c r="B67" s="88" t="s">
        <v>930</v>
      </c>
    </row>
    <row r="68" spans="1:2" ht="15" customHeight="1" x14ac:dyDescent="0.25">
      <c r="A68" s="87"/>
      <c r="B68" s="88"/>
    </row>
    <row r="69" spans="1:2" ht="15.75" customHeight="1" x14ac:dyDescent="0.25">
      <c r="A69" s="1" t="s">
        <v>931</v>
      </c>
      <c r="B69" s="1"/>
    </row>
    <row r="70" spans="1:2" ht="15" customHeight="1" x14ac:dyDescent="0.25">
      <c r="A70" s="87" t="s">
        <v>932</v>
      </c>
      <c r="B70" s="88" t="s">
        <v>933</v>
      </c>
    </row>
    <row r="71" spans="1:2" ht="15" customHeight="1" x14ac:dyDescent="0.25">
      <c r="A71" s="87" t="s">
        <v>934</v>
      </c>
      <c r="B71" s="88" t="s">
        <v>935</v>
      </c>
    </row>
    <row r="72" spans="1:2" ht="15" customHeight="1" x14ac:dyDescent="0.25">
      <c r="A72" s="87" t="s">
        <v>936</v>
      </c>
      <c r="B72" s="88" t="s">
        <v>937</v>
      </c>
    </row>
    <row r="73" spans="1:2" ht="15" customHeight="1" x14ac:dyDescent="0.25">
      <c r="A73" s="87" t="s">
        <v>938</v>
      </c>
      <c r="B73" s="88" t="s">
        <v>939</v>
      </c>
    </row>
    <row r="74" spans="1:2" ht="15" customHeight="1" x14ac:dyDescent="0.25">
      <c r="A74" s="87" t="s">
        <v>940</v>
      </c>
      <c r="B74" s="88" t="s">
        <v>941</v>
      </c>
    </row>
    <row r="75" spans="1:2" ht="15" customHeight="1" x14ac:dyDescent="0.25">
      <c r="A75" s="87" t="s">
        <v>942</v>
      </c>
      <c r="B75" s="88" t="s">
        <v>943</v>
      </c>
    </row>
    <row r="76" spans="1:2" ht="15" customHeight="1" x14ac:dyDescent="0.25">
      <c r="A76" s="87" t="s">
        <v>944</v>
      </c>
      <c r="B76" s="88" t="s">
        <v>945</v>
      </c>
    </row>
    <row r="77" spans="1:2" ht="15" customHeight="1" x14ac:dyDescent="0.25">
      <c r="A77" s="87" t="s">
        <v>946</v>
      </c>
      <c r="B77" s="88" t="s">
        <v>947</v>
      </c>
    </row>
    <row r="78" spans="1:2" ht="15" customHeight="1" x14ac:dyDescent="0.25">
      <c r="A78" s="87" t="s">
        <v>948</v>
      </c>
      <c r="B78" s="88" t="s">
        <v>949</v>
      </c>
    </row>
    <row r="79" spans="1:2" ht="15" customHeight="1" x14ac:dyDescent="0.25">
      <c r="A79" s="87" t="s">
        <v>950</v>
      </c>
      <c r="B79" s="88" t="s">
        <v>951</v>
      </c>
    </row>
    <row r="80" spans="1:2" ht="15" customHeight="1" x14ac:dyDescent="0.25">
      <c r="A80" s="87" t="s">
        <v>952</v>
      </c>
      <c r="B80" s="88" t="s">
        <v>953</v>
      </c>
    </row>
    <row r="81" spans="1:2" ht="15" customHeight="1" x14ac:dyDescent="0.25">
      <c r="A81" s="87" t="s">
        <v>954</v>
      </c>
      <c r="B81" s="88" t="s">
        <v>955</v>
      </c>
    </row>
    <row r="82" spans="1:2" ht="15" customHeight="1" x14ac:dyDescent="0.25">
      <c r="A82" s="87"/>
      <c r="B82" s="88"/>
    </row>
    <row r="83" spans="1:2" ht="15.75" customHeight="1" x14ac:dyDescent="0.25">
      <c r="A83" s="1" t="s">
        <v>956</v>
      </c>
      <c r="B83" s="1"/>
    </row>
    <row r="84" spans="1:2" ht="30" customHeight="1" x14ac:dyDescent="0.25">
      <c r="A84" s="87" t="s">
        <v>957</v>
      </c>
      <c r="B84" s="88" t="s">
        <v>958</v>
      </c>
    </row>
    <row r="85" spans="1:2" ht="15" customHeight="1" x14ac:dyDescent="0.25">
      <c r="A85" s="87" t="s">
        <v>959</v>
      </c>
      <c r="B85" s="88" t="s">
        <v>960</v>
      </c>
    </row>
    <row r="86" spans="1:2" ht="15" customHeight="1" x14ac:dyDescent="0.25">
      <c r="A86" s="89" t="s">
        <v>961</v>
      </c>
      <c r="B86" s="90" t="s">
        <v>962</v>
      </c>
    </row>
    <row r="88" spans="1:2" ht="18.75" customHeight="1" x14ac:dyDescent="0.3">
      <c r="A88" s="91" t="s">
        <v>963</v>
      </c>
    </row>
    <row r="90" spans="1:2" ht="15.75" customHeight="1" x14ac:dyDescent="0.25">
      <c r="A90" s="92" t="s">
        <v>964</v>
      </c>
      <c r="B90" s="75" t="s">
        <v>965</v>
      </c>
    </row>
    <row r="91" spans="1:2" ht="15" customHeight="1" x14ac:dyDescent="0.25">
      <c r="A91" s="60" t="s">
        <v>966</v>
      </c>
      <c r="B91" t="s">
        <v>967</v>
      </c>
    </row>
    <row r="92" spans="1:2" ht="15" customHeight="1" x14ac:dyDescent="0.25">
      <c r="A92" s="60" t="s">
        <v>22</v>
      </c>
      <c r="B92" t="s">
        <v>968</v>
      </c>
    </row>
    <row r="93" spans="1:2" ht="15" customHeight="1" x14ac:dyDescent="0.25">
      <c r="A93" s="60" t="s">
        <v>969</v>
      </c>
      <c r="B93" t="s">
        <v>970</v>
      </c>
    </row>
    <row r="94" spans="1:2" ht="15" customHeight="1" x14ac:dyDescent="0.25">
      <c r="A94" s="60" t="s">
        <v>25</v>
      </c>
      <c r="B94" t="s">
        <v>971</v>
      </c>
    </row>
    <row r="95" spans="1:2" ht="15" customHeight="1" x14ac:dyDescent="0.25">
      <c r="A95" s="60" t="s">
        <v>26</v>
      </c>
      <c r="B95" t="s">
        <v>972</v>
      </c>
    </row>
    <row r="96" spans="1:2" ht="15" customHeight="1" x14ac:dyDescent="0.25">
      <c r="A96" s="60" t="s">
        <v>27</v>
      </c>
      <c r="B96" t="s">
        <v>973</v>
      </c>
    </row>
    <row r="97" spans="1:2" ht="15" customHeight="1" x14ac:dyDescent="0.25">
      <c r="A97" s="60" t="s">
        <v>28</v>
      </c>
      <c r="B97" t="s">
        <v>974</v>
      </c>
    </row>
    <row r="98" spans="1:2" ht="15" customHeight="1" x14ac:dyDescent="0.25">
      <c r="A98" s="60" t="s">
        <v>975</v>
      </c>
      <c r="B98" t="s">
        <v>976</v>
      </c>
    </row>
    <row r="99" spans="1:2" ht="15" customHeight="1" x14ac:dyDescent="0.25">
      <c r="A99" s="60" t="s">
        <v>977</v>
      </c>
      <c r="B99" t="s">
        <v>978</v>
      </c>
    </row>
    <row r="101" spans="1:2" ht="15.75" customHeight="1" x14ac:dyDescent="0.25">
      <c r="A101" s="92" t="s">
        <v>979</v>
      </c>
    </row>
    <row r="102" spans="1:2" ht="15" customHeight="1" x14ac:dyDescent="0.25">
      <c r="A102" s="60" t="s">
        <v>980</v>
      </c>
      <c r="B102" t="s">
        <v>981</v>
      </c>
    </row>
    <row r="103" spans="1:2" ht="15" customHeight="1" x14ac:dyDescent="0.25">
      <c r="A103" s="60" t="s">
        <v>982</v>
      </c>
      <c r="B103" t="s">
        <v>983</v>
      </c>
    </row>
    <row r="105" spans="1:2" ht="15.75" customHeight="1" x14ac:dyDescent="0.25">
      <c r="A105" s="92" t="s">
        <v>984</v>
      </c>
      <c r="B105" t="s">
        <v>985</v>
      </c>
    </row>
    <row r="106" spans="1:2" ht="15" customHeight="1" x14ac:dyDescent="0.25">
      <c r="A106" s="60" t="s">
        <v>986</v>
      </c>
      <c r="B106" t="s">
        <v>308</v>
      </c>
    </row>
    <row r="107" spans="1:2" ht="15" customHeight="1" x14ac:dyDescent="0.25">
      <c r="A107" s="60" t="s">
        <v>987</v>
      </c>
      <c r="B107" t="s">
        <v>316</v>
      </c>
    </row>
    <row r="108" spans="1:2" ht="15" customHeight="1" x14ac:dyDescent="0.25">
      <c r="A108" s="60" t="s">
        <v>988</v>
      </c>
      <c r="B108" t="s">
        <v>321</v>
      </c>
    </row>
    <row r="109" spans="1:2" ht="15" customHeight="1" x14ac:dyDescent="0.25">
      <c r="A109" s="60" t="s">
        <v>989</v>
      </c>
      <c r="B109" t="s">
        <v>323</v>
      </c>
    </row>
    <row r="110" spans="1:2" ht="15" customHeight="1" x14ac:dyDescent="0.25">
      <c r="A110" s="60" t="s">
        <v>990</v>
      </c>
      <c r="B110" t="s">
        <v>310</v>
      </c>
    </row>
    <row r="111" spans="1:2" ht="15" customHeight="1" x14ac:dyDescent="0.25">
      <c r="A111" s="60" t="s">
        <v>991</v>
      </c>
      <c r="B111" t="s">
        <v>321</v>
      </c>
    </row>
    <row r="112" spans="1:2" ht="15" customHeight="1" x14ac:dyDescent="0.25">
      <c r="A112" s="60" t="s">
        <v>992</v>
      </c>
      <c r="B112" t="s">
        <v>316</v>
      </c>
    </row>
    <row r="113" spans="1:2" ht="15" customHeight="1" x14ac:dyDescent="0.25">
      <c r="A113" s="60" t="s">
        <v>993</v>
      </c>
      <c r="B113" t="s">
        <v>308</v>
      </c>
    </row>
    <row r="114" spans="1:2" ht="15" customHeight="1" x14ac:dyDescent="0.25">
      <c r="A114" s="60" t="s">
        <v>994</v>
      </c>
      <c r="B114" t="s">
        <v>324</v>
      </c>
    </row>
    <row r="115" spans="1:2" ht="15" customHeight="1" x14ac:dyDescent="0.25">
      <c r="A115" s="60" t="s">
        <v>995</v>
      </c>
      <c r="B115" t="s">
        <v>311</v>
      </c>
    </row>
    <row r="116" spans="1:2" ht="15" customHeight="1" x14ac:dyDescent="0.25">
      <c r="A116" s="60" t="s">
        <v>996</v>
      </c>
      <c r="B116" t="s">
        <v>311</v>
      </c>
    </row>
    <row r="117" spans="1:2" ht="15" customHeight="1" x14ac:dyDescent="0.25">
      <c r="A117" s="60" t="s">
        <v>997</v>
      </c>
      <c r="B117" t="s">
        <v>324</v>
      </c>
    </row>
    <row r="119" spans="1:2" ht="15.75" customHeight="1" x14ac:dyDescent="0.25">
      <c r="A119" s="92" t="s">
        <v>998</v>
      </c>
    </row>
    <row r="120" spans="1:2" ht="15" customHeight="1" x14ac:dyDescent="0.25">
      <c r="A120" s="60" t="s">
        <v>551</v>
      </c>
      <c r="B120" t="s">
        <v>552</v>
      </c>
    </row>
    <row r="121" spans="1:2" ht="15" customHeight="1" x14ac:dyDescent="0.25">
      <c r="A121" s="60" t="s">
        <v>999</v>
      </c>
      <c r="B121" t="s">
        <v>560</v>
      </c>
    </row>
    <row r="122" spans="1:2" ht="15" customHeight="1" x14ac:dyDescent="0.25">
      <c r="A122" s="60" t="s">
        <v>567</v>
      </c>
      <c r="B122" t="s">
        <v>568</v>
      </c>
    </row>
    <row r="123" spans="1:2" ht="15" customHeight="1" x14ac:dyDescent="0.25">
      <c r="A123" s="60" t="s">
        <v>1000</v>
      </c>
      <c r="B123" t="s">
        <v>574</v>
      </c>
    </row>
    <row r="124" spans="1:2" ht="15" customHeight="1" x14ac:dyDescent="0.25">
      <c r="A124" s="60" t="s">
        <v>1001</v>
      </c>
      <c r="B124" t="s">
        <v>582</v>
      </c>
    </row>
    <row r="125" spans="1:2" ht="15" customHeight="1" x14ac:dyDescent="0.25">
      <c r="A125" s="60" t="s">
        <v>1002</v>
      </c>
      <c r="B125">
        <v>1</v>
      </c>
    </row>
    <row r="127" spans="1:2" ht="15.75" customHeight="1" x14ac:dyDescent="0.25">
      <c r="A127" s="92" t="s">
        <v>1003</v>
      </c>
      <c r="B127" s="75" t="s">
        <v>1004</v>
      </c>
    </row>
    <row r="128" spans="1:2" ht="15" customHeight="1" x14ac:dyDescent="0.25">
      <c r="A128" s="60" t="s">
        <v>482</v>
      </c>
      <c r="B128" t="s">
        <v>1005</v>
      </c>
    </row>
    <row r="129" spans="1:2" ht="15" customHeight="1" x14ac:dyDescent="0.25">
      <c r="A129" s="60" t="s">
        <v>1006</v>
      </c>
      <c r="B129" t="s">
        <v>1007</v>
      </c>
    </row>
    <row r="130" spans="1:2" ht="15" customHeight="1" x14ac:dyDescent="0.25">
      <c r="A130" s="60" t="s">
        <v>1008</v>
      </c>
      <c r="B130" t="s">
        <v>1009</v>
      </c>
    </row>
    <row r="131" spans="1:2" ht="15" customHeight="1" x14ac:dyDescent="0.25">
      <c r="A131" s="60" t="s">
        <v>1010</v>
      </c>
      <c r="B131" t="s">
        <v>1011</v>
      </c>
    </row>
    <row r="132" spans="1:2" ht="15" customHeight="1" x14ac:dyDescent="0.25">
      <c r="A132" s="60" t="s">
        <v>1012</v>
      </c>
      <c r="B132" t="s">
        <v>1013</v>
      </c>
    </row>
    <row r="133" spans="1:2" ht="15" customHeight="1" x14ac:dyDescent="0.25">
      <c r="A133" s="60" t="s">
        <v>1014</v>
      </c>
      <c r="B133" t="s">
        <v>1015</v>
      </c>
    </row>
    <row r="134" spans="1:2" ht="15" customHeight="1" x14ac:dyDescent="0.25">
      <c r="A134" s="60" t="s">
        <v>1016</v>
      </c>
      <c r="B134" t="s">
        <v>1017</v>
      </c>
    </row>
    <row r="135" spans="1:2" ht="15" customHeight="1" x14ac:dyDescent="0.25">
      <c r="A135" s="60" t="s">
        <v>1018</v>
      </c>
      <c r="B135" t="s">
        <v>1019</v>
      </c>
    </row>
    <row r="136" spans="1:2" ht="15" customHeight="1" x14ac:dyDescent="0.25">
      <c r="A136" s="60" t="s">
        <v>1020</v>
      </c>
      <c r="B136" t="s">
        <v>1021</v>
      </c>
    </row>
    <row r="137" spans="1:2" ht="15" customHeight="1" x14ac:dyDescent="0.25">
      <c r="A137" s="60" t="s">
        <v>1022</v>
      </c>
      <c r="B137" t="s">
        <v>1023</v>
      </c>
    </row>
    <row r="138" spans="1:2" ht="15" customHeight="1" x14ac:dyDescent="0.25">
      <c r="A138" s="60" t="s">
        <v>1024</v>
      </c>
      <c r="B138" t="s">
        <v>1025</v>
      </c>
    </row>
    <row r="139" spans="1:2" ht="15" customHeight="1" x14ac:dyDescent="0.25">
      <c r="A139" s="60" t="s">
        <v>1026</v>
      </c>
      <c r="B139" t="s">
        <v>1027</v>
      </c>
    </row>
    <row r="141" spans="1:2" ht="15.75" customHeight="1" x14ac:dyDescent="0.25">
      <c r="A141" s="92" t="s">
        <v>1028</v>
      </c>
      <c r="B141" t="s">
        <v>1029</v>
      </c>
    </row>
    <row r="142" spans="1:2" ht="15" customHeight="1" x14ac:dyDescent="0.25">
      <c r="A142" s="60" t="s">
        <v>1030</v>
      </c>
      <c r="B142" t="s">
        <v>1031</v>
      </c>
    </row>
    <row r="143" spans="1:2" ht="15" customHeight="1" x14ac:dyDescent="0.25">
      <c r="A143" s="60" t="s">
        <v>1032</v>
      </c>
      <c r="B143" t="s">
        <v>1033</v>
      </c>
    </row>
    <row r="144" spans="1:2" ht="15" customHeight="1" x14ac:dyDescent="0.25">
      <c r="A144" s="60" t="s">
        <v>1034</v>
      </c>
      <c r="B144" t="s">
        <v>1035</v>
      </c>
    </row>
    <row r="145" spans="1:2" ht="15" customHeight="1" x14ac:dyDescent="0.25">
      <c r="A145" s="60" t="s">
        <v>1036</v>
      </c>
      <c r="B145" t="s">
        <v>1037</v>
      </c>
    </row>
    <row r="146" spans="1:2" ht="15" customHeight="1" x14ac:dyDescent="0.25">
      <c r="A146" s="60" t="s">
        <v>1038</v>
      </c>
      <c r="B146" t="s">
        <v>1039</v>
      </c>
    </row>
    <row r="147" spans="1:2" ht="15" customHeight="1" x14ac:dyDescent="0.25">
      <c r="A147" s="60" t="s">
        <v>1040</v>
      </c>
      <c r="B147" t="s">
        <v>1041</v>
      </c>
    </row>
    <row r="149" spans="1:2" ht="15.75" customHeight="1" x14ac:dyDescent="0.25">
      <c r="A149" s="92" t="s">
        <v>1042</v>
      </c>
      <c r="B149" t="s">
        <v>1043</v>
      </c>
    </row>
    <row r="151" spans="1:2" ht="15.75" customHeight="1" x14ac:dyDescent="0.25">
      <c r="A151" s="92" t="s">
        <v>1044</v>
      </c>
    </row>
    <row r="152" spans="1:2" ht="15" customHeight="1" x14ac:dyDescent="0.25">
      <c r="A152" s="60" t="s">
        <v>1045</v>
      </c>
      <c r="B152" t="s">
        <v>1046</v>
      </c>
    </row>
    <row r="153" spans="1:2" ht="15" customHeight="1" x14ac:dyDescent="0.25">
      <c r="A153" s="60" t="s">
        <v>1047</v>
      </c>
      <c r="B153" t="s">
        <v>1048</v>
      </c>
    </row>
    <row r="154" spans="1:2" ht="15" customHeight="1" x14ac:dyDescent="0.25">
      <c r="A154" s="60" t="s">
        <v>1049</v>
      </c>
      <c r="B154" t="s">
        <v>1050</v>
      </c>
    </row>
    <row r="155" spans="1:2" ht="15" customHeight="1" x14ac:dyDescent="0.25">
      <c r="A155" s="60" t="s">
        <v>1051</v>
      </c>
      <c r="B155" t="s">
        <v>1052</v>
      </c>
    </row>
    <row r="157" spans="1:2" ht="15.75" customHeight="1" x14ac:dyDescent="0.25">
      <c r="A157" s="92" t="s">
        <v>1053</v>
      </c>
    </row>
    <row r="158" spans="1:2" ht="15" customHeight="1" x14ac:dyDescent="0.25">
      <c r="A158" s="60" t="s">
        <v>1054</v>
      </c>
      <c r="B158" t="s">
        <v>1055</v>
      </c>
    </row>
    <row r="159" spans="1:2" ht="15" customHeight="1" x14ac:dyDescent="0.25">
      <c r="A159" s="60" t="s">
        <v>1056</v>
      </c>
      <c r="B159" t="s">
        <v>1057</v>
      </c>
    </row>
    <row r="160" spans="1:2" ht="15" customHeight="1" x14ac:dyDescent="0.25">
      <c r="A160" s="60" t="s">
        <v>1058</v>
      </c>
      <c r="B160" t="s">
        <v>1059</v>
      </c>
    </row>
    <row r="161" spans="1:2" ht="15" customHeight="1" x14ac:dyDescent="0.25">
      <c r="A161" s="60" t="s">
        <v>1060</v>
      </c>
      <c r="B161" t="s">
        <v>1061</v>
      </c>
    </row>
    <row r="162" spans="1:2" ht="15" customHeight="1" x14ac:dyDescent="0.25">
      <c r="A162" s="60" t="s">
        <v>1062</v>
      </c>
      <c r="B162" t="s">
        <v>1063</v>
      </c>
    </row>
    <row r="163" spans="1:2" ht="15" customHeight="1" x14ac:dyDescent="0.25">
      <c r="A163" s="60" t="s">
        <v>1064</v>
      </c>
      <c r="B163" t="s">
        <v>1065</v>
      </c>
    </row>
    <row r="164" spans="1:2" ht="15" customHeight="1" x14ac:dyDescent="0.25">
      <c r="A164" s="60" t="s">
        <v>1066</v>
      </c>
      <c r="B164" t="s">
        <v>1067</v>
      </c>
    </row>
    <row r="165" spans="1:2" ht="15" customHeight="1" x14ac:dyDescent="0.25">
      <c r="A165" s="60" t="s">
        <v>1068</v>
      </c>
      <c r="B165" t="s">
        <v>1069</v>
      </c>
    </row>
    <row r="166" spans="1:2" ht="15" customHeight="1" x14ac:dyDescent="0.25">
      <c r="A166" s="60" t="s">
        <v>1070</v>
      </c>
      <c r="B166" t="s">
        <v>1071</v>
      </c>
    </row>
    <row r="167" spans="1:2" ht="15" customHeight="1" x14ac:dyDescent="0.25">
      <c r="A167" s="60" t="s">
        <v>1072</v>
      </c>
      <c r="B167" t="s">
        <v>1073</v>
      </c>
    </row>
    <row r="168" spans="1:2" ht="15" customHeight="1" x14ac:dyDescent="0.25">
      <c r="A168" s="60" t="s">
        <v>1074</v>
      </c>
      <c r="B168" t="s">
        <v>1075</v>
      </c>
    </row>
    <row r="169" spans="1:2" ht="15" customHeight="1" x14ac:dyDescent="0.25">
      <c r="A169" s="60" t="s">
        <v>1076</v>
      </c>
      <c r="B169" t="s">
        <v>1077</v>
      </c>
    </row>
    <row r="171" spans="1:2" ht="15.75" customHeight="1" x14ac:dyDescent="0.25">
      <c r="A171" s="92" t="s">
        <v>1078</v>
      </c>
      <c r="B171" t="s">
        <v>1079</v>
      </c>
    </row>
    <row r="172" spans="1:2" ht="15" customHeight="1" x14ac:dyDescent="0.25">
      <c r="A172" s="60" t="s">
        <v>1080</v>
      </c>
      <c r="B172" t="s">
        <v>1081</v>
      </c>
    </row>
    <row r="174" spans="1:2" ht="15" customHeight="1" x14ac:dyDescent="0.25">
      <c r="A174" s="60" t="s">
        <v>1082</v>
      </c>
      <c r="B174" t="s">
        <v>1083</v>
      </c>
    </row>
    <row r="175" spans="1:2" ht="15" customHeight="1" x14ac:dyDescent="0.25">
      <c r="A175" s="60" t="s">
        <v>1084</v>
      </c>
      <c r="B175" t="s">
        <v>1085</v>
      </c>
    </row>
    <row r="176" spans="1:2" ht="15" customHeight="1" x14ac:dyDescent="0.25">
      <c r="A176" s="60" t="s">
        <v>350</v>
      </c>
      <c r="B176" t="s">
        <v>1086</v>
      </c>
    </row>
    <row r="177" spans="1:2" ht="15" customHeight="1" x14ac:dyDescent="0.25">
      <c r="A177" s="60" t="s">
        <v>1087</v>
      </c>
      <c r="B177" t="s">
        <v>1088</v>
      </c>
    </row>
    <row r="179" spans="1:2" ht="15" customHeight="1" x14ac:dyDescent="0.25">
      <c r="A179" s="93" t="s">
        <v>1089</v>
      </c>
      <c r="B179" s="75" t="s">
        <v>1090</v>
      </c>
    </row>
    <row r="181" spans="1:2" ht="15.75" customHeight="1" x14ac:dyDescent="0.25">
      <c r="A181" s="92" t="s">
        <v>1091</v>
      </c>
    </row>
    <row r="182" spans="1:2" ht="15" customHeight="1" x14ac:dyDescent="0.25">
      <c r="A182" s="73" t="s">
        <v>344</v>
      </c>
      <c r="B182" s="73" t="s">
        <v>1092</v>
      </c>
    </row>
    <row r="183" spans="1:2" ht="15" customHeight="1" x14ac:dyDescent="0.25">
      <c r="A183" s="60" t="s">
        <v>347</v>
      </c>
      <c r="B183" t="s">
        <v>1093</v>
      </c>
    </row>
    <row r="184" spans="1:2" ht="15" customHeight="1" x14ac:dyDescent="0.25">
      <c r="A184" s="60" t="s">
        <v>350</v>
      </c>
      <c r="B184" t="s">
        <v>1094</v>
      </c>
    </row>
    <row r="185" spans="1:2" ht="15" customHeight="1" x14ac:dyDescent="0.25">
      <c r="A185" s="60" t="s">
        <v>353</v>
      </c>
      <c r="B185" t="s">
        <v>1095</v>
      </c>
    </row>
    <row r="186" spans="1:2" ht="15" customHeight="1" x14ac:dyDescent="0.25">
      <c r="A186" s="60" t="s">
        <v>356</v>
      </c>
      <c r="B186" t="s">
        <v>1096</v>
      </c>
    </row>
    <row r="187" spans="1:2" ht="15" customHeight="1" x14ac:dyDescent="0.25">
      <c r="A187" s="60" t="s">
        <v>360</v>
      </c>
      <c r="B187" t="s">
        <v>1097</v>
      </c>
    </row>
    <row r="188" spans="1:2" ht="15" customHeight="1" x14ac:dyDescent="0.25">
      <c r="A188" s="60" t="s">
        <v>362</v>
      </c>
      <c r="B188" t="s">
        <v>381</v>
      </c>
    </row>
    <row r="189" spans="1:2" ht="15" customHeight="1" x14ac:dyDescent="0.25">
      <c r="A189" s="60" t="s">
        <v>365</v>
      </c>
      <c r="B189" t="s">
        <v>1098</v>
      </c>
    </row>
    <row r="191" spans="1:2" ht="15.75" customHeight="1" x14ac:dyDescent="0.25">
      <c r="A191" s="92" t="s">
        <v>1099</v>
      </c>
      <c r="B191" t="s">
        <v>1100</v>
      </c>
    </row>
    <row r="192" spans="1:2" ht="15" customHeight="1" x14ac:dyDescent="0.25">
      <c r="A192" s="60" t="s">
        <v>1101</v>
      </c>
      <c r="B192" t="s">
        <v>1102</v>
      </c>
    </row>
    <row r="193" spans="1:2" ht="15" customHeight="1" x14ac:dyDescent="0.25">
      <c r="A193" s="93" t="s">
        <v>1103</v>
      </c>
      <c r="B193" t="s">
        <v>1104</v>
      </c>
    </row>
    <row r="194" spans="1:2" ht="15" customHeight="1" x14ac:dyDescent="0.25">
      <c r="A194" s="93" t="s">
        <v>1105</v>
      </c>
      <c r="B194" t="s">
        <v>1106</v>
      </c>
    </row>
    <row r="196" spans="1:2" ht="15.75" customHeight="1" x14ac:dyDescent="0.25">
      <c r="A196" s="92" t="s">
        <v>1107</v>
      </c>
    </row>
    <row r="197" spans="1:2" ht="15" customHeight="1" x14ac:dyDescent="0.25">
      <c r="A197" s="60" t="s">
        <v>1108</v>
      </c>
      <c r="B197" t="s">
        <v>1109</v>
      </c>
    </row>
    <row r="198" spans="1:2" ht="15" customHeight="1" x14ac:dyDescent="0.25">
      <c r="A198" s="60" t="s">
        <v>1110</v>
      </c>
      <c r="B198" t="s">
        <v>1111</v>
      </c>
    </row>
    <row r="199" spans="1:2" ht="15" customHeight="1" x14ac:dyDescent="0.25">
      <c r="A199" s="60" t="s">
        <v>1112</v>
      </c>
      <c r="B199" t="s">
        <v>1113</v>
      </c>
    </row>
    <row r="200" spans="1:2" ht="15" customHeight="1" x14ac:dyDescent="0.25">
      <c r="A200" s="60" t="s">
        <v>1114</v>
      </c>
      <c r="B200" t="s">
        <v>1115</v>
      </c>
    </row>
    <row r="201" spans="1:2" ht="15" customHeight="1" x14ac:dyDescent="0.25">
      <c r="A201" s="60" t="s">
        <v>1116</v>
      </c>
      <c r="B201" t="s">
        <v>1117</v>
      </c>
    </row>
    <row r="202" spans="1:2" ht="15" customHeight="1" x14ac:dyDescent="0.25">
      <c r="A202" s="60" t="s">
        <v>1118</v>
      </c>
      <c r="B202" t="s">
        <v>1119</v>
      </c>
    </row>
    <row r="204" spans="1:2" ht="15.75" customHeight="1" x14ac:dyDescent="0.25">
      <c r="A204" s="92" t="s">
        <v>1120</v>
      </c>
    </row>
    <row r="205" spans="1:2" ht="15" customHeight="1" x14ac:dyDescent="0.25">
      <c r="A205" s="60" t="s">
        <v>1121</v>
      </c>
      <c r="B205" t="s">
        <v>1122</v>
      </c>
    </row>
    <row r="206" spans="1:2" ht="15" customHeight="1" x14ac:dyDescent="0.25">
      <c r="A206" s="60" t="s">
        <v>1123</v>
      </c>
      <c r="B206" t="s">
        <v>1124</v>
      </c>
    </row>
    <row r="207" spans="1:2" ht="15" customHeight="1" x14ac:dyDescent="0.25">
      <c r="A207" s="60" t="s">
        <v>1125</v>
      </c>
      <c r="B207" t="s">
        <v>1126</v>
      </c>
    </row>
    <row r="208" spans="1:2" ht="15" customHeight="1" x14ac:dyDescent="0.25">
      <c r="A208" s="60" t="s">
        <v>1127</v>
      </c>
      <c r="B208" t="s">
        <v>1128</v>
      </c>
    </row>
  </sheetData>
  <mergeCells count="15">
    <mergeCell ref="A57:B57"/>
    <mergeCell ref="A60:B60"/>
    <mergeCell ref="A63:B63"/>
    <mergeCell ref="A69:B69"/>
    <mergeCell ref="A83:B83"/>
    <mergeCell ref="A34:B34"/>
    <mergeCell ref="A39:B39"/>
    <mergeCell ref="A45:B45"/>
    <mergeCell ref="A50:B50"/>
    <mergeCell ref="A53:B53"/>
    <mergeCell ref="A1:B1"/>
    <mergeCell ref="A3:B3"/>
    <mergeCell ref="A19:B19"/>
    <mergeCell ref="A25:B25"/>
    <mergeCell ref="A28:B28"/>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U16"/>
  <sheetViews>
    <sheetView zoomScaleNormal="100" workbookViewId="0">
      <selection activeCell="U16" sqref="U16"/>
    </sheetView>
  </sheetViews>
  <sheetFormatPr defaultColWidth="8.5703125" defaultRowHeight="15" x14ac:dyDescent="0.25"/>
  <cols>
    <col min="3" max="3" width="16" customWidth="1"/>
    <col min="4" max="4" width="23" hidden="1" customWidth="1"/>
    <col min="5" max="5" width="13.7109375" hidden="1" customWidth="1"/>
    <col min="6" max="6" width="21.7109375" hidden="1" customWidth="1"/>
    <col min="7" max="7" width="19.42578125" hidden="1" customWidth="1"/>
    <col min="8" max="8" width="9.140625" hidden="1" customWidth="1"/>
    <col min="9" max="9" width="15.85546875" hidden="1" customWidth="1"/>
    <col min="10" max="10" width="17.42578125" hidden="1" customWidth="1"/>
    <col min="11" max="11" width="11.85546875" hidden="1" customWidth="1"/>
    <col min="12" max="12" width="15.28515625" hidden="1" customWidth="1"/>
    <col min="13" max="13" width="17.5703125" hidden="1" customWidth="1"/>
    <col min="14" max="14" width="14.7109375" customWidth="1"/>
    <col min="15" max="15" width="36.5703125" hidden="1" customWidth="1"/>
    <col min="16" max="16" width="9.140625" hidden="1" customWidth="1"/>
    <col min="17" max="17" width="17.7109375" hidden="1" customWidth="1"/>
    <col min="18" max="18" width="27.7109375" hidden="1" customWidth="1"/>
    <col min="19" max="19" width="41.7109375" hidden="1" customWidth="1"/>
    <col min="20" max="20" width="35.42578125" hidden="1" customWidth="1"/>
    <col min="21" max="21" width="87.7109375" customWidth="1"/>
  </cols>
  <sheetData>
    <row r="4" spans="1:21" ht="49.5" customHeight="1" x14ac:dyDescent="0.25">
      <c r="A4" s="34" t="s">
        <v>160</v>
      </c>
      <c r="B4" s="34" t="s">
        <v>2</v>
      </c>
      <c r="C4" s="34" t="s">
        <v>162</v>
      </c>
      <c r="D4" s="34" t="s">
        <v>1129</v>
      </c>
      <c r="E4" s="34" t="s">
        <v>164</v>
      </c>
      <c r="F4" s="34" t="s">
        <v>1130</v>
      </c>
      <c r="G4" s="34" t="s">
        <v>1131</v>
      </c>
      <c r="H4" s="34" t="s">
        <v>51</v>
      </c>
      <c r="I4" s="34" t="s">
        <v>1132</v>
      </c>
      <c r="J4" s="34" t="s">
        <v>1133</v>
      </c>
      <c r="K4" s="34" t="s">
        <v>55</v>
      </c>
      <c r="L4" s="34" t="s">
        <v>1134</v>
      </c>
      <c r="M4" s="34" t="s">
        <v>1135</v>
      </c>
      <c r="N4" s="34" t="s">
        <v>1136</v>
      </c>
      <c r="O4" s="34" t="s">
        <v>166</v>
      </c>
      <c r="P4" s="34" t="s">
        <v>62</v>
      </c>
      <c r="Q4" s="34" t="s">
        <v>1137</v>
      </c>
      <c r="R4" s="34" t="s">
        <v>739</v>
      </c>
      <c r="S4" s="34" t="s">
        <v>1138</v>
      </c>
      <c r="T4" s="34" t="s">
        <v>1139</v>
      </c>
      <c r="U4" s="34" t="s">
        <v>1140</v>
      </c>
    </row>
    <row r="5" spans="1:21" ht="15" customHeight="1" x14ac:dyDescent="0.25">
      <c r="A5">
        <v>1</v>
      </c>
      <c r="B5" t="s">
        <v>171</v>
      </c>
      <c r="C5" t="s">
        <v>172</v>
      </c>
      <c r="D5" t="s">
        <v>1141</v>
      </c>
      <c r="E5" t="s">
        <v>174</v>
      </c>
      <c r="F5" t="s">
        <v>175</v>
      </c>
      <c r="G5" t="s">
        <v>176</v>
      </c>
      <c r="H5" t="s">
        <v>177</v>
      </c>
      <c r="I5" t="s">
        <v>178</v>
      </c>
      <c r="J5" t="s">
        <v>179</v>
      </c>
      <c r="K5" t="s">
        <v>180</v>
      </c>
      <c r="L5" t="s">
        <v>181</v>
      </c>
      <c r="M5" t="s">
        <v>182</v>
      </c>
      <c r="N5" t="s">
        <v>183</v>
      </c>
      <c r="O5" t="s">
        <v>184</v>
      </c>
      <c r="P5" t="s">
        <v>185</v>
      </c>
      <c r="Q5" t="s">
        <v>186</v>
      </c>
      <c r="R5" t="s">
        <v>187</v>
      </c>
      <c r="S5" t="s">
        <v>188</v>
      </c>
      <c r="T5" t="s">
        <v>1142</v>
      </c>
      <c r="U5" t="s">
        <v>1143</v>
      </c>
    </row>
    <row r="6" spans="1:21" ht="15" customHeight="1" x14ac:dyDescent="0.25">
      <c r="A6">
        <v>2</v>
      </c>
      <c r="B6" t="s">
        <v>191</v>
      </c>
      <c r="C6" t="s">
        <v>192</v>
      </c>
      <c r="D6" t="s">
        <v>1144</v>
      </c>
      <c r="E6" t="s">
        <v>194</v>
      </c>
      <c r="F6" t="s">
        <v>195</v>
      </c>
      <c r="G6" t="s">
        <v>196</v>
      </c>
      <c r="H6" t="s">
        <v>197</v>
      </c>
      <c r="I6" t="s">
        <v>198</v>
      </c>
      <c r="J6" t="s">
        <v>179</v>
      </c>
      <c r="K6" t="s">
        <v>199</v>
      </c>
      <c r="L6" t="s">
        <v>200</v>
      </c>
      <c r="M6" t="s">
        <v>182</v>
      </c>
      <c r="N6" t="s">
        <v>183</v>
      </c>
      <c r="O6" t="s">
        <v>184</v>
      </c>
      <c r="P6" t="s">
        <v>201</v>
      </c>
      <c r="Q6" t="s">
        <v>202</v>
      </c>
      <c r="R6" t="s">
        <v>203</v>
      </c>
      <c r="S6" t="s">
        <v>204</v>
      </c>
      <c r="T6" t="s">
        <v>1145</v>
      </c>
      <c r="U6" t="s">
        <v>1146</v>
      </c>
    </row>
    <row r="7" spans="1:21" ht="15" customHeight="1" x14ac:dyDescent="0.25">
      <c r="A7">
        <v>3</v>
      </c>
      <c r="B7" t="s">
        <v>207</v>
      </c>
      <c r="C7" t="s">
        <v>208</v>
      </c>
      <c r="D7" t="s">
        <v>1141</v>
      </c>
      <c r="E7" t="s">
        <v>209</v>
      </c>
      <c r="F7" t="s">
        <v>210</v>
      </c>
      <c r="G7" t="s">
        <v>211</v>
      </c>
      <c r="H7" t="s">
        <v>212</v>
      </c>
      <c r="I7" t="s">
        <v>213</v>
      </c>
      <c r="J7" t="s">
        <v>179</v>
      </c>
      <c r="K7" t="s">
        <v>214</v>
      </c>
      <c r="L7" t="s">
        <v>181</v>
      </c>
      <c r="M7" t="s">
        <v>182</v>
      </c>
      <c r="N7" t="s">
        <v>215</v>
      </c>
      <c r="O7" t="s">
        <v>216</v>
      </c>
      <c r="P7" t="s">
        <v>62</v>
      </c>
      <c r="Q7" t="s">
        <v>217</v>
      </c>
      <c r="R7" t="s">
        <v>218</v>
      </c>
      <c r="S7" t="s">
        <v>219</v>
      </c>
      <c r="T7" t="s">
        <v>1147</v>
      </c>
      <c r="U7" t="s">
        <v>1148</v>
      </c>
    </row>
    <row r="8" spans="1:21" ht="15" customHeight="1" x14ac:dyDescent="0.25">
      <c r="A8">
        <v>4</v>
      </c>
      <c r="B8" t="s">
        <v>222</v>
      </c>
      <c r="C8" t="s">
        <v>223</v>
      </c>
      <c r="D8" t="s">
        <v>1144</v>
      </c>
      <c r="E8" t="s">
        <v>174</v>
      </c>
      <c r="F8" t="s">
        <v>224</v>
      </c>
      <c r="G8" t="s">
        <v>225</v>
      </c>
      <c r="H8" t="s">
        <v>226</v>
      </c>
      <c r="I8" t="s">
        <v>227</v>
      </c>
      <c r="J8" t="s">
        <v>228</v>
      </c>
      <c r="K8" t="s">
        <v>180</v>
      </c>
      <c r="L8" t="s">
        <v>229</v>
      </c>
      <c r="M8" t="s">
        <v>182</v>
      </c>
      <c r="N8" t="s">
        <v>183</v>
      </c>
      <c r="O8" t="s">
        <v>230</v>
      </c>
      <c r="P8" t="s">
        <v>231</v>
      </c>
      <c r="Q8" t="s">
        <v>232</v>
      </c>
      <c r="R8" t="s">
        <v>233</v>
      </c>
      <c r="S8" t="s">
        <v>234</v>
      </c>
      <c r="T8" t="s">
        <v>1149</v>
      </c>
      <c r="U8" t="s">
        <v>1150</v>
      </c>
    </row>
    <row r="9" spans="1:21" ht="15" customHeight="1" x14ac:dyDescent="0.25">
      <c r="A9">
        <v>5</v>
      </c>
      <c r="B9" t="s">
        <v>237</v>
      </c>
      <c r="C9" t="s">
        <v>238</v>
      </c>
      <c r="D9" t="s">
        <v>1141</v>
      </c>
      <c r="E9" t="s">
        <v>194</v>
      </c>
      <c r="F9" t="s">
        <v>175</v>
      </c>
      <c r="G9" t="s">
        <v>176</v>
      </c>
      <c r="H9" t="s">
        <v>177</v>
      </c>
      <c r="I9" t="s">
        <v>178</v>
      </c>
      <c r="J9" t="s">
        <v>228</v>
      </c>
      <c r="K9" t="s">
        <v>199</v>
      </c>
      <c r="L9" t="s">
        <v>181</v>
      </c>
      <c r="M9" t="s">
        <v>239</v>
      </c>
      <c r="N9" t="s">
        <v>215</v>
      </c>
      <c r="O9" t="s">
        <v>240</v>
      </c>
      <c r="P9" t="s">
        <v>185</v>
      </c>
      <c r="Q9" t="s">
        <v>241</v>
      </c>
      <c r="R9" t="s">
        <v>242</v>
      </c>
      <c r="S9" t="s">
        <v>243</v>
      </c>
      <c r="T9" t="s">
        <v>1151</v>
      </c>
      <c r="U9" t="s">
        <v>1152</v>
      </c>
    </row>
    <row r="10" spans="1:21" ht="15" customHeight="1" x14ac:dyDescent="0.25">
      <c r="A10">
        <v>6</v>
      </c>
      <c r="B10" t="s">
        <v>246</v>
      </c>
      <c r="C10" t="s">
        <v>247</v>
      </c>
      <c r="D10" t="s">
        <v>1144</v>
      </c>
      <c r="E10" t="s">
        <v>209</v>
      </c>
      <c r="F10" t="s">
        <v>195</v>
      </c>
      <c r="G10" t="s">
        <v>196</v>
      </c>
      <c r="H10" t="s">
        <v>197</v>
      </c>
      <c r="I10" t="s">
        <v>198</v>
      </c>
      <c r="J10" t="s">
        <v>248</v>
      </c>
      <c r="K10" t="s">
        <v>214</v>
      </c>
      <c r="L10" t="s">
        <v>181</v>
      </c>
      <c r="M10" t="s">
        <v>239</v>
      </c>
      <c r="N10" t="s">
        <v>215</v>
      </c>
      <c r="O10" t="s">
        <v>216</v>
      </c>
      <c r="P10" t="s">
        <v>201</v>
      </c>
      <c r="Q10" t="s">
        <v>1153</v>
      </c>
      <c r="R10" t="s">
        <v>250</v>
      </c>
      <c r="S10" t="s">
        <v>251</v>
      </c>
      <c r="T10" t="s">
        <v>1154</v>
      </c>
      <c r="U10" t="s">
        <v>1155</v>
      </c>
    </row>
    <row r="11" spans="1:21" ht="15" customHeight="1" x14ac:dyDescent="0.25">
      <c r="A11">
        <v>7</v>
      </c>
      <c r="B11" t="s">
        <v>254</v>
      </c>
      <c r="C11" t="s">
        <v>255</v>
      </c>
      <c r="D11" t="s">
        <v>1141</v>
      </c>
      <c r="E11" t="s">
        <v>174</v>
      </c>
      <c r="F11" t="s">
        <v>210</v>
      </c>
      <c r="G11" t="s">
        <v>211</v>
      </c>
      <c r="H11" t="s">
        <v>212</v>
      </c>
      <c r="I11" t="s">
        <v>213</v>
      </c>
      <c r="J11" t="s">
        <v>179</v>
      </c>
      <c r="K11" t="s">
        <v>180</v>
      </c>
      <c r="L11" t="s">
        <v>200</v>
      </c>
      <c r="M11" t="s">
        <v>239</v>
      </c>
      <c r="N11" t="s">
        <v>215</v>
      </c>
      <c r="O11" t="s">
        <v>216</v>
      </c>
      <c r="P11" t="s">
        <v>201</v>
      </c>
      <c r="Q11" t="s">
        <v>256</v>
      </c>
      <c r="R11" t="s">
        <v>257</v>
      </c>
      <c r="S11" t="s">
        <v>258</v>
      </c>
      <c r="T11" t="s">
        <v>1156</v>
      </c>
      <c r="U11" t="s">
        <v>1157</v>
      </c>
    </row>
    <row r="12" spans="1:21" ht="15" customHeight="1" x14ac:dyDescent="0.25">
      <c r="A12">
        <v>8</v>
      </c>
      <c r="B12" t="s">
        <v>261</v>
      </c>
      <c r="C12" t="s">
        <v>262</v>
      </c>
      <c r="D12" t="s">
        <v>1144</v>
      </c>
      <c r="E12" t="s">
        <v>194</v>
      </c>
      <c r="F12" t="s">
        <v>224</v>
      </c>
      <c r="G12" t="s">
        <v>225</v>
      </c>
      <c r="H12" t="s">
        <v>226</v>
      </c>
      <c r="I12" t="s">
        <v>227</v>
      </c>
      <c r="J12" t="s">
        <v>179</v>
      </c>
      <c r="K12" t="s">
        <v>199</v>
      </c>
      <c r="L12" t="s">
        <v>229</v>
      </c>
      <c r="M12" t="s">
        <v>239</v>
      </c>
      <c r="N12" t="s">
        <v>215</v>
      </c>
      <c r="O12" t="s">
        <v>263</v>
      </c>
      <c r="P12" t="s">
        <v>231</v>
      </c>
      <c r="Q12" t="s">
        <v>264</v>
      </c>
      <c r="R12" t="s">
        <v>265</v>
      </c>
      <c r="S12" t="s">
        <v>266</v>
      </c>
      <c r="T12" t="s">
        <v>1158</v>
      </c>
      <c r="U12" t="s">
        <v>1159</v>
      </c>
    </row>
    <row r="13" spans="1:21" ht="15" customHeight="1" x14ac:dyDescent="0.25">
      <c r="A13">
        <v>9</v>
      </c>
      <c r="B13" t="s">
        <v>269</v>
      </c>
      <c r="C13" t="s">
        <v>270</v>
      </c>
      <c r="D13" t="s">
        <v>1141</v>
      </c>
      <c r="E13" t="s">
        <v>209</v>
      </c>
      <c r="F13" t="s">
        <v>175</v>
      </c>
      <c r="G13" t="s">
        <v>176</v>
      </c>
      <c r="H13" t="s">
        <v>177</v>
      </c>
      <c r="I13" t="s">
        <v>178</v>
      </c>
      <c r="J13" t="s">
        <v>228</v>
      </c>
      <c r="K13" t="s">
        <v>214</v>
      </c>
      <c r="L13" t="s">
        <v>200</v>
      </c>
      <c r="M13" t="s">
        <v>182</v>
      </c>
      <c r="N13" t="s">
        <v>183</v>
      </c>
      <c r="O13" t="s">
        <v>1160</v>
      </c>
      <c r="P13" t="s">
        <v>185</v>
      </c>
      <c r="Q13" t="s">
        <v>272</v>
      </c>
      <c r="R13" t="s">
        <v>273</v>
      </c>
      <c r="S13" t="s">
        <v>274</v>
      </c>
      <c r="T13" t="s">
        <v>1161</v>
      </c>
      <c r="U13" t="s">
        <v>1162</v>
      </c>
    </row>
    <row r="14" spans="1:21" ht="15" customHeight="1" x14ac:dyDescent="0.25">
      <c r="A14">
        <v>10</v>
      </c>
      <c r="B14" t="s">
        <v>277</v>
      </c>
      <c r="C14" t="s">
        <v>278</v>
      </c>
      <c r="D14" t="s">
        <v>1144</v>
      </c>
      <c r="E14" t="s">
        <v>174</v>
      </c>
      <c r="F14" t="s">
        <v>195</v>
      </c>
      <c r="G14" t="s">
        <v>196</v>
      </c>
      <c r="H14" t="s">
        <v>197</v>
      </c>
      <c r="I14" t="s">
        <v>198</v>
      </c>
      <c r="J14" t="s">
        <v>248</v>
      </c>
      <c r="K14" t="s">
        <v>180</v>
      </c>
      <c r="L14" t="s">
        <v>200</v>
      </c>
      <c r="M14" t="s">
        <v>182</v>
      </c>
      <c r="N14" t="s">
        <v>183</v>
      </c>
      <c r="O14" t="s">
        <v>1163</v>
      </c>
      <c r="P14" t="s">
        <v>201</v>
      </c>
      <c r="Q14" t="s">
        <v>280</v>
      </c>
      <c r="R14" t="s">
        <v>1164</v>
      </c>
      <c r="S14" t="s">
        <v>282</v>
      </c>
      <c r="T14" t="s">
        <v>1165</v>
      </c>
      <c r="U14" t="s">
        <v>1166</v>
      </c>
    </row>
    <row r="15" spans="1:21" ht="15" customHeight="1" x14ac:dyDescent="0.25">
      <c r="A15">
        <v>11</v>
      </c>
      <c r="B15" t="s">
        <v>285</v>
      </c>
      <c r="C15" t="s">
        <v>286</v>
      </c>
      <c r="D15" t="s">
        <v>1141</v>
      </c>
      <c r="E15" t="s">
        <v>194</v>
      </c>
      <c r="F15" t="s">
        <v>210</v>
      </c>
      <c r="G15" t="s">
        <v>211</v>
      </c>
      <c r="H15" t="s">
        <v>212</v>
      </c>
      <c r="I15" t="s">
        <v>213</v>
      </c>
      <c r="J15" t="s">
        <v>248</v>
      </c>
      <c r="K15" t="s">
        <v>199</v>
      </c>
      <c r="L15" t="s">
        <v>200</v>
      </c>
      <c r="M15" t="s">
        <v>239</v>
      </c>
      <c r="N15" t="s">
        <v>215</v>
      </c>
      <c r="O15" t="s">
        <v>216</v>
      </c>
      <c r="P15" t="s">
        <v>201</v>
      </c>
      <c r="Q15" t="s">
        <v>287</v>
      </c>
      <c r="R15" t="s">
        <v>288</v>
      </c>
      <c r="S15" t="s">
        <v>289</v>
      </c>
      <c r="T15" t="s">
        <v>1167</v>
      </c>
      <c r="U15" t="s">
        <v>1168</v>
      </c>
    </row>
    <row r="16" spans="1:21" ht="15" customHeight="1" x14ac:dyDescent="0.25">
      <c r="A16">
        <v>12</v>
      </c>
      <c r="B16" t="s">
        <v>292</v>
      </c>
      <c r="C16" t="s">
        <v>293</v>
      </c>
      <c r="D16" t="s">
        <v>1144</v>
      </c>
      <c r="E16" t="s">
        <v>209</v>
      </c>
      <c r="F16" t="s">
        <v>224</v>
      </c>
      <c r="G16" t="s">
        <v>225</v>
      </c>
      <c r="H16" t="s">
        <v>226</v>
      </c>
      <c r="I16" t="s">
        <v>227</v>
      </c>
      <c r="J16" t="s">
        <v>228</v>
      </c>
      <c r="K16" t="s">
        <v>214</v>
      </c>
      <c r="L16" t="s">
        <v>229</v>
      </c>
      <c r="M16" t="s">
        <v>239</v>
      </c>
      <c r="N16" t="s">
        <v>294</v>
      </c>
      <c r="O16" t="s">
        <v>230</v>
      </c>
      <c r="P16" t="s">
        <v>231</v>
      </c>
      <c r="Q16" t="s">
        <v>202</v>
      </c>
      <c r="R16" t="s">
        <v>295</v>
      </c>
      <c r="S16" t="s">
        <v>296</v>
      </c>
      <c r="T16" t="s">
        <v>1169</v>
      </c>
      <c r="U16" t="s">
        <v>1170</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B130"/>
  <sheetViews>
    <sheetView topLeftCell="A103" zoomScaleNormal="100" workbookViewId="0">
      <selection activeCell="B131" sqref="B131"/>
    </sheetView>
  </sheetViews>
  <sheetFormatPr defaultColWidth="8.5703125" defaultRowHeight="15" x14ac:dyDescent="0.25"/>
  <cols>
    <col min="2" max="2" width="123.7109375" customWidth="1"/>
    <col min="3" max="3" width="119.28515625" customWidth="1"/>
  </cols>
  <sheetData>
    <row r="3" spans="2:2" ht="15" customHeight="1" x14ac:dyDescent="0.25">
      <c r="B3" s="34" t="s">
        <v>1130</v>
      </c>
    </row>
    <row r="5" spans="2:2" ht="15" customHeight="1" x14ac:dyDescent="0.25">
      <c r="B5" t="s">
        <v>1171</v>
      </c>
    </row>
    <row r="6" spans="2:2" ht="15" customHeight="1" x14ac:dyDescent="0.25">
      <c r="B6" t="s">
        <v>1172</v>
      </c>
    </row>
    <row r="7" spans="2:2" ht="15" customHeight="1" x14ac:dyDescent="0.25">
      <c r="B7" t="s">
        <v>1173</v>
      </c>
    </row>
    <row r="8" spans="2:2" ht="15" customHeight="1" x14ac:dyDescent="0.25">
      <c r="B8" t="s">
        <v>1174</v>
      </c>
    </row>
    <row r="10" spans="2:2" ht="15" customHeight="1" x14ac:dyDescent="0.25">
      <c r="B10" t="s">
        <v>1175</v>
      </c>
    </row>
    <row r="11" spans="2:2" ht="15" customHeight="1" x14ac:dyDescent="0.25">
      <c r="B11" t="s">
        <v>1176</v>
      </c>
    </row>
    <row r="12" spans="2:2" ht="15" customHeight="1" x14ac:dyDescent="0.25">
      <c r="B12" t="s">
        <v>1177</v>
      </c>
    </row>
    <row r="13" spans="2:2" ht="15" customHeight="1" x14ac:dyDescent="0.25">
      <c r="B13" t="s">
        <v>1178</v>
      </c>
    </row>
    <row r="15" spans="2:2" ht="15" customHeight="1" x14ac:dyDescent="0.25">
      <c r="B15" t="s">
        <v>1179</v>
      </c>
    </row>
    <row r="16" spans="2:2" ht="15" customHeight="1" x14ac:dyDescent="0.25">
      <c r="B16" t="s">
        <v>1180</v>
      </c>
    </row>
    <row r="17" spans="2:2" ht="15" customHeight="1" x14ac:dyDescent="0.25">
      <c r="B17" t="s">
        <v>1181</v>
      </c>
    </row>
    <row r="19" spans="2:2" ht="15" customHeight="1" x14ac:dyDescent="0.25">
      <c r="B19" t="s">
        <v>1182</v>
      </c>
    </row>
    <row r="21" spans="2:2" ht="15" customHeight="1" x14ac:dyDescent="0.25">
      <c r="B21" t="s">
        <v>1183</v>
      </c>
    </row>
    <row r="22" spans="2:2" ht="15" customHeight="1" x14ac:dyDescent="0.25">
      <c r="B22" t="s">
        <v>1184</v>
      </c>
    </row>
    <row r="23" spans="2:2" ht="15" customHeight="1" x14ac:dyDescent="0.25">
      <c r="B23" t="s">
        <v>1185</v>
      </c>
    </row>
    <row r="24" spans="2:2" ht="15" customHeight="1" x14ac:dyDescent="0.25">
      <c r="B24" t="s">
        <v>1186</v>
      </c>
    </row>
    <row r="25" spans="2:2" ht="15" customHeight="1" x14ac:dyDescent="0.25">
      <c r="B25" t="s">
        <v>1187</v>
      </c>
    </row>
    <row r="28" spans="2:2" ht="15" customHeight="1" x14ac:dyDescent="0.25">
      <c r="B28" t="s">
        <v>1188</v>
      </c>
    </row>
    <row r="29" spans="2:2" ht="15" customHeight="1" x14ac:dyDescent="0.25">
      <c r="B29" t="s">
        <v>1189</v>
      </c>
    </row>
    <row r="30" spans="2:2" ht="15" customHeight="1" x14ac:dyDescent="0.25">
      <c r="B30" t="s">
        <v>1190</v>
      </c>
    </row>
    <row r="33" spans="2:2" ht="15" customHeight="1" x14ac:dyDescent="0.25">
      <c r="B33" t="s">
        <v>1191</v>
      </c>
    </row>
    <row r="34" spans="2:2" ht="15" customHeight="1" x14ac:dyDescent="0.25">
      <c r="B34" t="s">
        <v>1192</v>
      </c>
    </row>
    <row r="35" spans="2:2" ht="15" customHeight="1" x14ac:dyDescent="0.25">
      <c r="B35" t="s">
        <v>1193</v>
      </c>
    </row>
    <row r="36" spans="2:2" ht="15" customHeight="1" x14ac:dyDescent="0.25">
      <c r="B36" t="s">
        <v>1194</v>
      </c>
    </row>
    <row r="39" spans="2:2" ht="15" customHeight="1" x14ac:dyDescent="0.25">
      <c r="B39" t="s">
        <v>1195</v>
      </c>
    </row>
    <row r="40" spans="2:2" ht="15" customHeight="1" x14ac:dyDescent="0.25">
      <c r="B40" t="s">
        <v>1196</v>
      </c>
    </row>
    <row r="41" spans="2:2" ht="15" customHeight="1" x14ac:dyDescent="0.25">
      <c r="B41" t="s">
        <v>1197</v>
      </c>
    </row>
    <row r="43" spans="2:2" ht="15" customHeight="1" x14ac:dyDescent="0.25">
      <c r="B43" t="s">
        <v>1198</v>
      </c>
    </row>
    <row r="44" spans="2:2" ht="15" customHeight="1" x14ac:dyDescent="0.25">
      <c r="B44" t="s">
        <v>1199</v>
      </c>
    </row>
    <row r="45" spans="2:2" ht="15" customHeight="1" x14ac:dyDescent="0.25">
      <c r="B45" t="s">
        <v>1200</v>
      </c>
    </row>
    <row r="48" spans="2:2" ht="15" customHeight="1" x14ac:dyDescent="0.25">
      <c r="B48" t="s">
        <v>1201</v>
      </c>
    </row>
    <row r="49" spans="2:2" ht="15" customHeight="1" x14ac:dyDescent="0.25">
      <c r="B49" t="s">
        <v>1202</v>
      </c>
    </row>
    <row r="50" spans="2:2" ht="15" customHeight="1" x14ac:dyDescent="0.25">
      <c r="B50" t="s">
        <v>1203</v>
      </c>
    </row>
    <row r="52" spans="2:2" ht="15" customHeight="1" x14ac:dyDescent="0.25">
      <c r="B52" t="s">
        <v>1204</v>
      </c>
    </row>
    <row r="53" spans="2:2" ht="15" customHeight="1" x14ac:dyDescent="0.25">
      <c r="B53" t="s">
        <v>1205</v>
      </c>
    </row>
    <row r="54" spans="2:2" ht="15" customHeight="1" x14ac:dyDescent="0.25">
      <c r="B54" t="s">
        <v>1206</v>
      </c>
    </row>
    <row r="56" spans="2:2" ht="15" customHeight="1" x14ac:dyDescent="0.25">
      <c r="B56" t="s">
        <v>1207</v>
      </c>
    </row>
    <row r="57" spans="2:2" ht="15" customHeight="1" x14ac:dyDescent="0.25">
      <c r="B57" t="s">
        <v>1208</v>
      </c>
    </row>
    <row r="58" spans="2:2" ht="15" customHeight="1" x14ac:dyDescent="0.25">
      <c r="B58" t="s">
        <v>1209</v>
      </c>
    </row>
    <row r="59" spans="2:2" ht="15" customHeight="1" x14ac:dyDescent="0.25">
      <c r="B59" t="s">
        <v>1210</v>
      </c>
    </row>
    <row r="61" spans="2:2" ht="15" customHeight="1" x14ac:dyDescent="0.25">
      <c r="B61" t="s">
        <v>1211</v>
      </c>
    </row>
    <row r="62" spans="2:2" ht="15" customHeight="1" x14ac:dyDescent="0.25">
      <c r="B62" t="s">
        <v>1212</v>
      </c>
    </row>
    <row r="63" spans="2:2" ht="15" customHeight="1" x14ac:dyDescent="0.25">
      <c r="B63" t="s">
        <v>1213</v>
      </c>
    </row>
    <row r="64" spans="2:2" ht="15" customHeight="1" x14ac:dyDescent="0.25">
      <c r="B64" t="s">
        <v>1214</v>
      </c>
    </row>
    <row r="69" spans="2:2" ht="15" customHeight="1" x14ac:dyDescent="0.25">
      <c r="B69" s="34" t="s">
        <v>1215</v>
      </c>
    </row>
    <row r="70" spans="2:2" ht="15" customHeight="1" x14ac:dyDescent="0.25">
      <c r="B70" t="s">
        <v>1216</v>
      </c>
    </row>
    <row r="72" spans="2:2" ht="15" customHeight="1" x14ac:dyDescent="0.25">
      <c r="B72" t="s">
        <v>1135</v>
      </c>
    </row>
    <row r="73" spans="2:2" ht="15" customHeight="1" x14ac:dyDescent="0.25">
      <c r="B73" t="s">
        <v>1217</v>
      </c>
    </row>
    <row r="74" spans="2:2" ht="15" customHeight="1" x14ac:dyDescent="0.25">
      <c r="B74" t="s">
        <v>1218</v>
      </c>
    </row>
    <row r="76" spans="2:2" ht="15" customHeight="1" x14ac:dyDescent="0.25">
      <c r="B76" s="34" t="s">
        <v>1136</v>
      </c>
    </row>
    <row r="77" spans="2:2" ht="15" customHeight="1" x14ac:dyDescent="0.25">
      <c r="B77" t="s">
        <v>1219</v>
      </c>
    </row>
    <row r="79" spans="2:2" ht="15" customHeight="1" x14ac:dyDescent="0.25">
      <c r="B79" s="34" t="s">
        <v>166</v>
      </c>
    </row>
    <row r="80" spans="2:2" ht="15" customHeight="1" x14ac:dyDescent="0.25">
      <c r="B80" t="s">
        <v>1220</v>
      </c>
    </row>
    <row r="81" spans="2:2" ht="15" customHeight="1" x14ac:dyDescent="0.25">
      <c r="B81" t="s">
        <v>1221</v>
      </c>
    </row>
    <row r="82" spans="2:2" ht="15" customHeight="1" x14ac:dyDescent="0.25">
      <c r="B82" t="s">
        <v>1222</v>
      </c>
    </row>
    <row r="84" spans="2:2" ht="15" customHeight="1" x14ac:dyDescent="0.25">
      <c r="B84" t="s">
        <v>62</v>
      </c>
    </row>
    <row r="85" spans="2:2" ht="15" customHeight="1" x14ac:dyDescent="0.25">
      <c r="B85" t="s">
        <v>1223</v>
      </c>
    </row>
    <row r="86" spans="2:2" ht="15" customHeight="1" x14ac:dyDescent="0.25">
      <c r="B86" t="s">
        <v>1224</v>
      </c>
    </row>
    <row r="87" spans="2:2" ht="15" customHeight="1" x14ac:dyDescent="0.25">
      <c r="B87" t="s">
        <v>1225</v>
      </c>
    </row>
    <row r="88" spans="2:2" ht="15" customHeight="1" x14ac:dyDescent="0.25">
      <c r="B88" t="s">
        <v>1226</v>
      </c>
    </row>
    <row r="90" spans="2:2" ht="15" customHeight="1" x14ac:dyDescent="0.25">
      <c r="B90" s="34" t="s">
        <v>1137</v>
      </c>
    </row>
    <row r="91" spans="2:2" ht="15" customHeight="1" x14ac:dyDescent="0.25">
      <c r="B91" t="s">
        <v>1227</v>
      </c>
    </row>
    <row r="93" spans="2:2" ht="15" customHeight="1" x14ac:dyDescent="0.25">
      <c r="B93" s="34" t="s">
        <v>739</v>
      </c>
    </row>
    <row r="94" spans="2:2" ht="15" customHeight="1" x14ac:dyDescent="0.25">
      <c r="B94" t="s">
        <v>1228</v>
      </c>
    </row>
    <row r="96" spans="2:2" ht="15" customHeight="1" x14ac:dyDescent="0.25">
      <c r="B96" s="34" t="s">
        <v>1138</v>
      </c>
    </row>
    <row r="97" spans="2:2" ht="15" customHeight="1" x14ac:dyDescent="0.25">
      <c r="B97" t="s">
        <v>1229</v>
      </c>
    </row>
    <row r="98" spans="2:2" ht="15" customHeight="1" x14ac:dyDescent="0.25">
      <c r="B98" t="s">
        <v>1230</v>
      </c>
    </row>
    <row r="99" spans="2:2" ht="15" customHeight="1" x14ac:dyDescent="0.25">
      <c r="B99" t="s">
        <v>1231</v>
      </c>
    </row>
    <row r="100" spans="2:2" ht="15" customHeight="1" x14ac:dyDescent="0.25">
      <c r="B100" t="s">
        <v>1232</v>
      </c>
    </row>
    <row r="101" spans="2:2" ht="15" customHeight="1" x14ac:dyDescent="0.25">
      <c r="B101" t="s">
        <v>1233</v>
      </c>
    </row>
    <row r="102" spans="2:2" ht="15" customHeight="1" x14ac:dyDescent="0.25">
      <c r="B102" t="s">
        <v>1234</v>
      </c>
    </row>
    <row r="103" spans="2:2" ht="15" customHeight="1" x14ac:dyDescent="0.25">
      <c r="B103" t="s">
        <v>1235</v>
      </c>
    </row>
    <row r="104" spans="2:2" ht="15" customHeight="1" x14ac:dyDescent="0.25">
      <c r="B104" t="s">
        <v>1236</v>
      </c>
    </row>
    <row r="105" spans="2:2" ht="15" customHeight="1" x14ac:dyDescent="0.25">
      <c r="B105" t="s">
        <v>1237</v>
      </c>
    </row>
    <row r="106" spans="2:2" ht="15" customHeight="1" x14ac:dyDescent="0.25">
      <c r="B106" t="s">
        <v>1238</v>
      </c>
    </row>
    <row r="107" spans="2:2" ht="15" customHeight="1" x14ac:dyDescent="0.25">
      <c r="B107" t="s">
        <v>1239</v>
      </c>
    </row>
    <row r="108" spans="2:2" ht="15" customHeight="1" x14ac:dyDescent="0.25">
      <c r="B108" t="s">
        <v>1240</v>
      </c>
    </row>
    <row r="109" spans="2:2" ht="15" customHeight="1" x14ac:dyDescent="0.25">
      <c r="B109" t="s">
        <v>1241</v>
      </c>
    </row>
    <row r="113" spans="2:2" ht="15" customHeight="1" x14ac:dyDescent="0.25">
      <c r="B113" t="s">
        <v>1242</v>
      </c>
    </row>
    <row r="114" spans="2:2" ht="15" customHeight="1" x14ac:dyDescent="0.25">
      <c r="B114" t="s">
        <v>1243</v>
      </c>
    </row>
    <row r="115" spans="2:2" ht="15" customHeight="1" x14ac:dyDescent="0.25">
      <c r="B115" t="s">
        <v>1244</v>
      </c>
    </row>
    <row r="116" spans="2:2" ht="15" customHeight="1" x14ac:dyDescent="0.25">
      <c r="B116" t="s">
        <v>1245</v>
      </c>
    </row>
    <row r="117" spans="2:2" ht="15" customHeight="1" x14ac:dyDescent="0.25">
      <c r="B117" t="s">
        <v>1246</v>
      </c>
    </row>
    <row r="118" spans="2:2" ht="15" customHeight="1" x14ac:dyDescent="0.25">
      <c r="B118" t="s">
        <v>1247</v>
      </c>
    </row>
    <row r="120" spans="2:2" ht="15" customHeight="1" x14ac:dyDescent="0.25">
      <c r="B120" t="s">
        <v>1248</v>
      </c>
    </row>
    <row r="121" spans="2:2" ht="15" customHeight="1" x14ac:dyDescent="0.25">
      <c r="B121" t="s">
        <v>1249</v>
      </c>
    </row>
    <row r="122" spans="2:2" ht="15" customHeight="1" x14ac:dyDescent="0.25">
      <c r="B122" t="s">
        <v>1250</v>
      </c>
    </row>
    <row r="123" spans="2:2" ht="15" customHeight="1" x14ac:dyDescent="0.25">
      <c r="B123" t="s">
        <v>1251</v>
      </c>
    </row>
    <row r="124" spans="2:2" ht="15" customHeight="1" x14ac:dyDescent="0.25">
      <c r="B124" t="s">
        <v>1252</v>
      </c>
    </row>
    <row r="125" spans="2:2" ht="15" customHeight="1" x14ac:dyDescent="0.25">
      <c r="B125" t="s">
        <v>1253</v>
      </c>
    </row>
    <row r="126" spans="2:2" ht="15" customHeight="1" x14ac:dyDescent="0.25">
      <c r="B126" t="s">
        <v>1254</v>
      </c>
    </row>
    <row r="127" spans="2:2" ht="15" customHeight="1" x14ac:dyDescent="0.25">
      <c r="B127" t="s">
        <v>1255</v>
      </c>
    </row>
    <row r="128" spans="2:2" ht="15" customHeight="1" x14ac:dyDescent="0.25">
      <c r="B128" t="s">
        <v>1256</v>
      </c>
    </row>
    <row r="129" spans="2:2" ht="15" customHeight="1" x14ac:dyDescent="0.25">
      <c r="B129" t="s">
        <v>1257</v>
      </c>
    </row>
    <row r="130" spans="2:2" ht="15" customHeight="1" x14ac:dyDescent="0.25">
      <c r="B130" t="s">
        <v>1258</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14"/>
  <sheetViews>
    <sheetView zoomScaleNormal="100" workbookViewId="0">
      <selection activeCell="H20" sqref="H20"/>
    </sheetView>
  </sheetViews>
  <sheetFormatPr defaultColWidth="8.5703125" defaultRowHeight="15" x14ac:dyDescent="0.25"/>
  <cols>
    <col min="2" max="2" width="16.85546875" customWidth="1"/>
    <col min="5" max="5" width="14.7109375" customWidth="1"/>
    <col min="6" max="6" width="14.28515625" customWidth="1"/>
  </cols>
  <sheetData>
    <row r="2" spans="2:6" ht="15" customHeight="1" x14ac:dyDescent="0.25">
      <c r="B2" t="s">
        <v>162</v>
      </c>
      <c r="C2" t="s">
        <v>300</v>
      </c>
      <c r="D2" t="s">
        <v>301</v>
      </c>
      <c r="E2" t="s">
        <v>1259</v>
      </c>
      <c r="F2" t="s">
        <v>1260</v>
      </c>
    </row>
    <row r="3" spans="2:6" ht="15" customHeight="1" x14ac:dyDescent="0.25">
      <c r="B3" t="s">
        <v>172</v>
      </c>
      <c r="C3" t="s">
        <v>308</v>
      </c>
      <c r="D3" t="s">
        <v>309</v>
      </c>
      <c r="E3" t="s">
        <v>310</v>
      </c>
      <c r="F3" t="s">
        <v>311</v>
      </c>
    </row>
    <row r="4" spans="2:6" ht="15" customHeight="1" x14ac:dyDescent="0.25">
      <c r="B4" t="s">
        <v>192</v>
      </c>
      <c r="C4" t="s">
        <v>316</v>
      </c>
      <c r="D4" t="s">
        <v>309</v>
      </c>
      <c r="E4" t="s">
        <v>317</v>
      </c>
      <c r="F4" t="s">
        <v>30</v>
      </c>
    </row>
    <row r="5" spans="2:6" ht="15" customHeight="1" x14ac:dyDescent="0.25">
      <c r="B5" t="s">
        <v>208</v>
      </c>
      <c r="C5" t="s">
        <v>321</v>
      </c>
    </row>
    <row r="6" spans="2:6" ht="15" customHeight="1" x14ac:dyDescent="0.25">
      <c r="B6" t="s">
        <v>223</v>
      </c>
      <c r="C6" t="s">
        <v>323</v>
      </c>
      <c r="E6" t="s">
        <v>324</v>
      </c>
      <c r="F6" t="s">
        <v>308</v>
      </c>
    </row>
    <row r="7" spans="2:6" ht="15" customHeight="1" x14ac:dyDescent="0.25">
      <c r="B7" t="s">
        <v>238</v>
      </c>
      <c r="C7" t="s">
        <v>310</v>
      </c>
      <c r="D7" t="s">
        <v>309</v>
      </c>
    </row>
    <row r="8" spans="2:6" ht="15" customHeight="1" x14ac:dyDescent="0.25">
      <c r="B8" t="s">
        <v>247</v>
      </c>
      <c r="C8" t="s">
        <v>321</v>
      </c>
      <c r="D8" t="s">
        <v>309</v>
      </c>
      <c r="E8" t="s">
        <v>321</v>
      </c>
      <c r="F8" t="s">
        <v>316</v>
      </c>
    </row>
    <row r="9" spans="2:6" ht="15" customHeight="1" x14ac:dyDescent="0.25">
      <c r="B9" t="s">
        <v>255</v>
      </c>
      <c r="C9" t="s">
        <v>316</v>
      </c>
      <c r="D9" t="s">
        <v>309</v>
      </c>
      <c r="E9" t="s">
        <v>311</v>
      </c>
      <c r="F9" t="s">
        <v>310</v>
      </c>
    </row>
    <row r="10" spans="2:6" ht="15" customHeight="1" x14ac:dyDescent="0.25">
      <c r="B10" t="s">
        <v>262</v>
      </c>
      <c r="C10" t="s">
        <v>308</v>
      </c>
      <c r="E10" t="s">
        <v>30</v>
      </c>
      <c r="F10" t="s">
        <v>317</v>
      </c>
    </row>
    <row r="11" spans="2:6" ht="15" customHeight="1" x14ac:dyDescent="0.25">
      <c r="B11" t="s">
        <v>270</v>
      </c>
      <c r="C11" t="s">
        <v>324</v>
      </c>
      <c r="D11" t="s">
        <v>309</v>
      </c>
    </row>
    <row r="12" spans="2:6" ht="15" customHeight="1" x14ac:dyDescent="0.25">
      <c r="B12" t="s">
        <v>278</v>
      </c>
      <c r="C12" t="s">
        <v>311</v>
      </c>
      <c r="E12" t="s">
        <v>308</v>
      </c>
      <c r="F12" t="s">
        <v>324</v>
      </c>
    </row>
    <row r="13" spans="2:6" ht="15" customHeight="1" x14ac:dyDescent="0.25">
      <c r="B13" t="s">
        <v>286</v>
      </c>
      <c r="C13" t="s">
        <v>311</v>
      </c>
      <c r="D13" t="s">
        <v>309</v>
      </c>
    </row>
    <row r="14" spans="2:6" ht="15" customHeight="1" x14ac:dyDescent="0.25">
      <c r="B14" t="s">
        <v>293</v>
      </c>
      <c r="C14" t="s">
        <v>324</v>
      </c>
      <c r="E14" t="s">
        <v>316</v>
      </c>
      <c r="F14" t="s">
        <v>321</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36"/>
  <sheetViews>
    <sheetView topLeftCell="A36" zoomScaleNormal="100" workbookViewId="0">
      <selection activeCell="H27" sqref="H27"/>
    </sheetView>
  </sheetViews>
  <sheetFormatPr defaultColWidth="8.5703125" defaultRowHeight="15" x14ac:dyDescent="0.25"/>
  <cols>
    <col min="3" max="3" width="63.28515625" customWidth="1"/>
    <col min="4" max="4" width="34.7109375" customWidth="1"/>
  </cols>
  <sheetData>
    <row r="2" spans="2:7" ht="16.5" customHeight="1" x14ac:dyDescent="0.25">
      <c r="F2" s="94" t="s">
        <v>1261</v>
      </c>
    </row>
    <row r="3" spans="2:7" ht="409.5" customHeight="1" x14ac:dyDescent="0.25">
      <c r="B3" s="95" t="s">
        <v>1262</v>
      </c>
      <c r="C3" s="95" t="s">
        <v>1263</v>
      </c>
      <c r="D3" s="95" t="s">
        <v>1264</v>
      </c>
      <c r="F3" s="96" t="s">
        <v>1265</v>
      </c>
      <c r="G3" s="96" t="s">
        <v>1266</v>
      </c>
    </row>
    <row r="4" spans="2:7" ht="15.75" customHeight="1" x14ac:dyDescent="0.25">
      <c r="B4" s="97">
        <v>1</v>
      </c>
      <c r="C4" s="97" t="s">
        <v>1267</v>
      </c>
      <c r="D4" s="97" t="s">
        <v>1268</v>
      </c>
    </row>
    <row r="5" spans="2:7" ht="15.75" customHeight="1" x14ac:dyDescent="0.25">
      <c r="B5" s="97">
        <v>2</v>
      </c>
      <c r="C5" s="97" t="s">
        <v>1269</v>
      </c>
      <c r="D5" s="97" t="s">
        <v>1270</v>
      </c>
      <c r="F5" s="60" t="s">
        <v>1271</v>
      </c>
      <c r="G5" s="98">
        <f>IF(OR(Input!C13="",Input!E13=""),"",(Input!C13-1)*30+Input!E13)</f>
        <v>11.48</v>
      </c>
    </row>
    <row r="6" spans="2:7" ht="15.75" customHeight="1" x14ac:dyDescent="0.25">
      <c r="B6" s="97">
        <v>3</v>
      </c>
      <c r="C6" s="97" t="s">
        <v>1272</v>
      </c>
      <c r="D6" s="97" t="s">
        <v>1273</v>
      </c>
      <c r="F6" s="60" t="s">
        <v>1274</v>
      </c>
      <c r="G6" s="98">
        <f>IF(OR(Input!C14="",Input!E14=""),"",(Input!C14-1)*30+Input!E14)</f>
        <v>346.56</v>
      </c>
    </row>
    <row r="7" spans="2:7" ht="15.75" customHeight="1" x14ac:dyDescent="0.25">
      <c r="B7" s="97">
        <v>4</v>
      </c>
      <c r="C7" s="97" t="s">
        <v>1275</v>
      </c>
      <c r="D7" s="97" t="s">
        <v>1276</v>
      </c>
      <c r="F7" s="60" t="s">
        <v>1277</v>
      </c>
      <c r="G7" s="98">
        <f>IF(OR(G5="",G6=""),"",MOD(G6-G5,360))</f>
        <v>335.08</v>
      </c>
    </row>
    <row r="8" spans="2:7" ht="15.75" customHeight="1" x14ac:dyDescent="0.25">
      <c r="B8" s="97">
        <v>5</v>
      </c>
      <c r="C8" s="97" t="s">
        <v>1278</v>
      </c>
      <c r="D8" s="97" t="s">
        <v>1279</v>
      </c>
      <c r="F8" s="60" t="s">
        <v>1280</v>
      </c>
      <c r="G8">
        <f>IF(G7="","",INT(G7/12)+1)</f>
        <v>28</v>
      </c>
    </row>
    <row r="9" spans="2:7" ht="15.75" customHeight="1" x14ac:dyDescent="0.25">
      <c r="B9" s="97">
        <v>6</v>
      </c>
      <c r="C9" s="97" t="s">
        <v>1281</v>
      </c>
      <c r="D9" s="97" t="s">
        <v>1282</v>
      </c>
      <c r="F9" s="60" t="s">
        <v>1283</v>
      </c>
      <c r="G9" t="str">
        <f t="array" ref="G9">IF(G8="","",INDEX(C$4:C$33,G8))</f>
        <v>Trayodashi</v>
      </c>
    </row>
    <row r="10" spans="2:7" ht="15.75" customHeight="1" x14ac:dyDescent="0.25">
      <c r="B10" s="97">
        <v>7</v>
      </c>
      <c r="C10" s="97" t="s">
        <v>1284</v>
      </c>
      <c r="D10" s="97" t="s">
        <v>1285</v>
      </c>
      <c r="F10" s="60" t="s">
        <v>1286</v>
      </c>
      <c r="G10" t="str">
        <f>IF(G8="","",IF(G8&lt;=15,"Shukla Paksha (Waxing) — Strong, Benefic","Krishna Paksha (Waning) — Weak, Malefic"))</f>
        <v>Krishna Paksha (Waning) — Weak, Malefic</v>
      </c>
    </row>
    <row r="11" spans="2:7" ht="15.75" customHeight="1" x14ac:dyDescent="0.25">
      <c r="B11" s="97">
        <v>8</v>
      </c>
      <c r="C11" s="97" t="s">
        <v>1287</v>
      </c>
      <c r="D11" s="97" t="s">
        <v>1288</v>
      </c>
      <c r="F11" s="60" t="s">
        <v>1289</v>
      </c>
      <c r="G11" t="str">
        <f>IF(G8="","",IF(G8&lt;=15,"Strong (entire Shukla Paksha)",IF(G8&lt;=22,"Moderate (Krishna Pratipada–Saptami)","Weak (Ashtami→Amavasya in Krishna Paksha)")))</f>
        <v>Weak (Ashtami→Amavasya in Krishna Paksha)</v>
      </c>
    </row>
    <row r="12" spans="2:7" ht="15.75" customHeight="1" x14ac:dyDescent="0.25">
      <c r="B12" s="97">
        <v>9</v>
      </c>
      <c r="C12" s="97" t="s">
        <v>1290</v>
      </c>
      <c r="D12" s="97" t="s">
        <v>1291</v>
      </c>
    </row>
    <row r="13" spans="2:7" ht="15.75" customHeight="1" x14ac:dyDescent="0.25">
      <c r="B13" s="97">
        <v>10</v>
      </c>
      <c r="C13" s="97" t="s">
        <v>1292</v>
      </c>
      <c r="D13" s="97" t="s">
        <v>1293</v>
      </c>
    </row>
    <row r="14" spans="2:7" ht="15.75" customHeight="1" x14ac:dyDescent="0.25">
      <c r="B14" s="97">
        <v>11</v>
      </c>
      <c r="C14" s="97" t="s">
        <v>1294</v>
      </c>
      <c r="D14" s="97" t="s">
        <v>1295</v>
      </c>
    </row>
    <row r="15" spans="2:7" ht="15.75" customHeight="1" x14ac:dyDescent="0.25">
      <c r="B15" s="97">
        <v>12</v>
      </c>
      <c r="C15" s="97" t="s">
        <v>1296</v>
      </c>
      <c r="D15" s="97" t="s">
        <v>1297</v>
      </c>
    </row>
    <row r="16" spans="2:7" ht="15.75" customHeight="1" x14ac:dyDescent="0.25">
      <c r="B16" s="97">
        <v>13</v>
      </c>
      <c r="C16" s="97" t="s">
        <v>1298</v>
      </c>
      <c r="D16" s="97" t="s">
        <v>1299</v>
      </c>
    </row>
    <row r="17" spans="2:4" ht="15.75" customHeight="1" x14ac:dyDescent="0.25">
      <c r="B17" s="97">
        <v>14</v>
      </c>
      <c r="C17" s="97" t="s">
        <v>1300</v>
      </c>
      <c r="D17" s="97" t="s">
        <v>1301</v>
      </c>
    </row>
    <row r="18" spans="2:4" ht="15.75" customHeight="1" x14ac:dyDescent="0.25">
      <c r="B18" s="97">
        <v>15</v>
      </c>
      <c r="C18" s="97" t="s">
        <v>1302</v>
      </c>
      <c r="D18" s="97" t="s">
        <v>1303</v>
      </c>
    </row>
    <row r="19" spans="2:4" ht="15.75" customHeight="1" x14ac:dyDescent="0.25">
      <c r="B19" s="97">
        <v>16</v>
      </c>
      <c r="C19" s="97" t="s">
        <v>1267</v>
      </c>
      <c r="D19" s="97" t="s">
        <v>1304</v>
      </c>
    </row>
    <row r="20" spans="2:4" ht="15.75" customHeight="1" x14ac:dyDescent="0.25">
      <c r="B20" s="97">
        <v>17</v>
      </c>
      <c r="C20" s="97" t="s">
        <v>1269</v>
      </c>
      <c r="D20" s="97" t="s">
        <v>1305</v>
      </c>
    </row>
    <row r="21" spans="2:4" ht="15.75" customHeight="1" x14ac:dyDescent="0.25">
      <c r="B21" s="97">
        <v>18</v>
      </c>
      <c r="C21" s="97" t="s">
        <v>1272</v>
      </c>
      <c r="D21" s="97" t="s">
        <v>1306</v>
      </c>
    </row>
    <row r="22" spans="2:4" ht="15.75" customHeight="1" x14ac:dyDescent="0.25">
      <c r="B22" s="97">
        <v>19</v>
      </c>
      <c r="C22" s="97" t="s">
        <v>1275</v>
      </c>
      <c r="D22" s="97" t="s">
        <v>1307</v>
      </c>
    </row>
    <row r="23" spans="2:4" ht="15.75" customHeight="1" x14ac:dyDescent="0.25">
      <c r="B23" s="97">
        <v>20</v>
      </c>
      <c r="C23" s="97" t="s">
        <v>1278</v>
      </c>
      <c r="D23" s="97" t="s">
        <v>1308</v>
      </c>
    </row>
    <row r="24" spans="2:4" ht="15.75" customHeight="1" x14ac:dyDescent="0.25">
      <c r="B24" s="97">
        <v>21</v>
      </c>
      <c r="C24" s="97" t="s">
        <v>1281</v>
      </c>
      <c r="D24" s="97" t="s">
        <v>1309</v>
      </c>
    </row>
    <row r="25" spans="2:4" ht="15.75" customHeight="1" x14ac:dyDescent="0.25">
      <c r="B25" s="97">
        <v>22</v>
      </c>
      <c r="C25" s="97" t="s">
        <v>1284</v>
      </c>
      <c r="D25" s="97" t="s">
        <v>1310</v>
      </c>
    </row>
    <row r="26" spans="2:4" ht="15.75" customHeight="1" x14ac:dyDescent="0.25">
      <c r="B26" s="97">
        <v>23</v>
      </c>
      <c r="C26" s="97" t="s">
        <v>1287</v>
      </c>
      <c r="D26" s="97" t="s">
        <v>1311</v>
      </c>
    </row>
    <row r="27" spans="2:4" ht="15.75" customHeight="1" x14ac:dyDescent="0.25">
      <c r="B27" s="97">
        <v>24</v>
      </c>
      <c r="C27" s="97" t="s">
        <v>1290</v>
      </c>
      <c r="D27" s="97" t="s">
        <v>1312</v>
      </c>
    </row>
    <row r="28" spans="2:4" ht="15.75" customHeight="1" x14ac:dyDescent="0.25">
      <c r="B28" s="97">
        <v>25</v>
      </c>
      <c r="C28" s="97" t="s">
        <v>1292</v>
      </c>
      <c r="D28" s="97" t="s">
        <v>1313</v>
      </c>
    </row>
    <row r="29" spans="2:4" ht="15.75" customHeight="1" x14ac:dyDescent="0.25">
      <c r="B29" s="97">
        <v>26</v>
      </c>
      <c r="C29" s="97" t="s">
        <v>1294</v>
      </c>
      <c r="D29" s="97" t="s">
        <v>1314</v>
      </c>
    </row>
    <row r="30" spans="2:4" ht="15.75" customHeight="1" x14ac:dyDescent="0.25">
      <c r="B30" s="97">
        <v>27</v>
      </c>
      <c r="C30" s="97" t="s">
        <v>1296</v>
      </c>
      <c r="D30" s="97" t="s">
        <v>1315</v>
      </c>
    </row>
    <row r="31" spans="2:4" ht="15.75" customHeight="1" x14ac:dyDescent="0.25">
      <c r="B31" s="97">
        <v>28</v>
      </c>
      <c r="C31" s="97" t="s">
        <v>1298</v>
      </c>
      <c r="D31" s="97" t="s">
        <v>1316</v>
      </c>
    </row>
    <row r="32" spans="2:4" ht="15.75" customHeight="1" x14ac:dyDescent="0.25">
      <c r="B32" s="97">
        <v>29</v>
      </c>
      <c r="C32" s="97" t="s">
        <v>1300</v>
      </c>
      <c r="D32" s="97" t="s">
        <v>1317</v>
      </c>
    </row>
    <row r="33" spans="2:4" ht="15.75" customHeight="1" x14ac:dyDescent="0.25">
      <c r="B33" s="97">
        <v>30</v>
      </c>
      <c r="C33" s="97" t="s">
        <v>1302</v>
      </c>
      <c r="D33" s="97" t="s">
        <v>1318</v>
      </c>
    </row>
    <row r="36" spans="2:4" ht="405" customHeight="1" x14ac:dyDescent="0.25">
      <c r="C36" s="34" t="s">
        <v>1319</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Input</vt:lpstr>
      <vt:lpstr>Analysis</vt:lpstr>
      <vt:lpstr>Reference Data</vt:lpstr>
      <vt:lpstr>Planet Dignity</vt:lpstr>
      <vt:lpstr>Planet Characteristics</vt:lpstr>
      <vt:lpstr>Guide &amp; Explanations</vt:lpstr>
      <vt:lpstr>Sheet1</vt:lpstr>
      <vt:lpstr>Explanations</vt:lpstr>
      <vt:lpstr>Exhalted or Debilitated</vt:lpstr>
      <vt:lpstr>Tithi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girish BP</dc:creator>
  <dc:description/>
  <cp:lastModifiedBy>girish BP</cp:lastModifiedBy>
  <cp:revision>0</cp:revision>
  <dcterms:created xsi:type="dcterms:W3CDTF">2026-04-23T16:16:48Z</dcterms:created>
  <dcterms:modified xsi:type="dcterms:W3CDTF">2026-07-02T20:56:30Z</dcterms:modified>
  <dc:language>en-US</dc:language>
</cp:coreProperties>
</file>